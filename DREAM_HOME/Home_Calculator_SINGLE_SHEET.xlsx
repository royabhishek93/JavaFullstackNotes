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Purchas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C00000"/>
      <sz val="11"/>
    </font>
    <font>
      <b val="1"/>
      <color rgb="00FFFFFF"/>
      <sz val="12"/>
    </font>
    <font>
      <b val="1"/>
      <sz val="11"/>
    </font>
    <font>
      <b val="1"/>
      <color rgb="00006100"/>
      <sz val="12"/>
    </font>
    <font>
      <b val="1"/>
      <color rgb="00006100"/>
      <sz val="14"/>
    </font>
    <font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7F3E7"/>
        <bgColor rgb="00E7F3E7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3" borderId="1" pivotButton="0" quotePrefix="0" xfId="0"/>
    <xf numFmtId="0" fontId="4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1" pivotButton="0" quotePrefix="0" xfId="0"/>
    <xf numFmtId="3" fontId="4" fillId="4" borderId="1" pivotButton="0" quotePrefix="0" xfId="0"/>
    <xf numFmtId="3" fontId="4" fillId="5" borderId="1" pivotButton="0" quotePrefix="0" xfId="0"/>
    <xf numFmtId="0" fontId="6" fillId="5" borderId="1" applyAlignment="1" pivotButton="0" quotePrefix="0" xfId="0">
      <alignment horizontal="center"/>
    </xf>
    <xf numFmtId="0" fontId="5" fillId="5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HOME PURCHASE CALCULATOR - ADARSH TROPICA, SARJAPUR</t>
        </is>
      </c>
    </row>
    <row r="2" ht="25" customHeight="1">
      <c r="A2" s="2" t="inlineStr">
        <is>
          <t>💡 Change YELLOW cells → Everything updates automatically!</t>
        </is>
      </c>
    </row>
    <row r="4">
      <c r="A4" s="3" t="inlineStr">
        <is>
          <t>SECTION 1: INPUTS (Change These)</t>
        </is>
      </c>
    </row>
    <row r="5">
      <c r="A5" t="inlineStr"/>
      <c r="B5" t="inlineStr"/>
      <c r="C5" t="inlineStr"/>
      <c r="D5" t="inlineStr"/>
      <c r="E5" t="inlineStr"/>
    </row>
    <row r="6">
      <c r="A6" s="4" t="inlineStr">
        <is>
          <t>Property Price</t>
        </is>
      </c>
      <c r="B6" s="5" t="n">
        <v>14500000</v>
      </c>
      <c r="C6" t="inlineStr"/>
      <c r="D6" s="4" t="inlineStr">
        <is>
          <t>Interest Rate (Annual)</t>
        </is>
      </c>
      <c r="E6" s="6" t="n">
        <v>0.07149999999999999</v>
      </c>
    </row>
    <row r="7">
      <c r="A7" s="4" t="inlineStr">
        <is>
          <t>Stamp &amp; Registration</t>
        </is>
      </c>
      <c r="B7" s="5" t="n">
        <v>1000000</v>
      </c>
      <c r="C7" t="inlineStr"/>
      <c r="D7" s="4" t="inlineStr">
        <is>
          <t>Loan Tenure (Years)</t>
        </is>
      </c>
      <c r="E7" s="7" t="n">
        <v>15</v>
      </c>
    </row>
    <row r="8">
      <c r="A8" s="4" t="inlineStr">
        <is>
          <t>Down Payment</t>
        </is>
      </c>
      <c r="B8" s="5" t="n">
        <v>4000000</v>
      </c>
      <c r="C8" t="inlineStr"/>
      <c r="D8" s="4" t="inlineStr">
        <is>
          <t>Analysis Period (Years)</t>
        </is>
      </c>
      <c r="E8" s="7" t="n">
        <v>10</v>
      </c>
    </row>
    <row r="9">
      <c r="A9" t="inlineStr"/>
      <c r="B9" t="inlineStr"/>
      <c r="C9" t="inlineStr"/>
      <c r="D9" t="inlineStr"/>
      <c r="E9" t="inlineStr"/>
    </row>
    <row r="10">
      <c r="A10" s="4" t="inlineStr">
        <is>
          <t>Husband Salary (Monthly)</t>
        </is>
      </c>
      <c r="B10" s="5" t="n">
        <v>225000</v>
      </c>
      <c r="C10" t="inlineStr"/>
      <c r="D10" s="4" t="inlineStr">
        <is>
          <t>Current Monthly Rent</t>
        </is>
      </c>
      <c r="E10" s="5" t="n">
        <v>27000</v>
      </c>
    </row>
    <row r="11">
      <c r="A11" s="4" t="inlineStr">
        <is>
          <t>Wife Salary (Monthly)</t>
        </is>
      </c>
      <c r="B11" s="5" t="n">
        <v>150000</v>
      </c>
      <c r="C11" t="inlineStr"/>
      <c r="D11" s="4" t="inlineStr">
        <is>
          <t>Rent Growth Rate</t>
        </is>
      </c>
      <c r="E11" s="6" t="n">
        <v>0.05</v>
      </c>
    </row>
    <row r="12">
      <c r="A12" t="inlineStr"/>
      <c r="B12" t="inlineStr"/>
      <c r="C12" t="inlineStr"/>
      <c r="D12" t="inlineStr"/>
      <c r="E12" t="inlineStr"/>
    </row>
    <row r="13">
      <c r="A13" s="4" t="inlineStr">
        <is>
          <t>Property Appreciation Rate</t>
        </is>
      </c>
      <c r="B13" s="6" t="n">
        <v>0.04</v>
      </c>
      <c r="C13" t="inlineStr"/>
      <c r="D13" s="4" t="inlineStr">
        <is>
          <t>SIP Return Rate</t>
        </is>
      </c>
      <c r="E13" s="6" t="n">
        <v>0.12</v>
      </c>
    </row>
    <row r="14">
      <c r="A14" s="4" t="inlineStr">
        <is>
          <t>Additional SIP if Buying</t>
        </is>
      </c>
      <c r="B14" s="5" t="n">
        <v>30000</v>
      </c>
      <c r="C14" t="inlineStr"/>
      <c r="D14" t="inlineStr"/>
      <c r="E14" t="inlineStr"/>
    </row>
    <row r="16">
      <c r="A16" s="3" t="inlineStr">
        <is>
          <t>SECTION 2: KEY METRICS</t>
        </is>
      </c>
    </row>
    <row r="17">
      <c r="A17" t="inlineStr"/>
      <c r="B17" t="inlineStr"/>
      <c r="C17" t="inlineStr"/>
      <c r="D17" t="inlineStr"/>
      <c r="E17" t="inlineStr"/>
    </row>
    <row r="18">
      <c r="A18" s="8" t="inlineStr">
        <is>
          <t>Loan Amount</t>
        </is>
      </c>
      <c r="B18" s="9">
        <f>B6-B7-B8</f>
        <v/>
      </c>
      <c r="C18" t="inlineStr"/>
      <c r="D18" s="8" t="inlineStr">
        <is>
          <t>Monthly EMI</t>
        </is>
      </c>
      <c r="E18" s="9">
        <f>-PMT(E6/12,E7*12,B18)</f>
        <v/>
      </c>
    </row>
    <row r="19">
      <c r="A19" s="8" t="inlineStr">
        <is>
          <t>Combined Monthly Income</t>
        </is>
      </c>
      <c r="B19" s="9">
        <f>B10+B11</f>
        <v/>
      </c>
      <c r="C19" t="inlineStr"/>
      <c r="D19" s="8" t="inlineStr">
        <is>
          <t>EMI as % of Income</t>
        </is>
      </c>
      <c r="E19" s="10">
        <f>E18/B18</f>
        <v/>
      </c>
    </row>
    <row r="20">
      <c r="A20" s="8" t="inlineStr">
        <is>
          <t>Remaining Income</t>
        </is>
      </c>
      <c r="B20" s="9">
        <f>B18-E18</f>
        <v/>
      </c>
      <c r="C20" t="inlineStr"/>
      <c r="D20" s="8" t="inlineStr">
        <is>
          <t>Property Value (10Y)</t>
        </is>
      </c>
      <c r="E20" s="9">
        <f>B6*(1+B13)^E8</f>
        <v/>
      </c>
    </row>
    <row r="22">
      <c r="A22" s="3" t="inlineStr">
        <is>
          <t>SECTION 3: AFFORDABILITY CHECK</t>
        </is>
      </c>
    </row>
    <row r="23">
      <c r="A23" s="8" t="inlineStr">
        <is>
          <t>EMI Burden</t>
        </is>
      </c>
      <c r="C23" s="11">
        <f>IF(E18&lt;0.35,"✅ COMFORTABLE (&lt;35%)",IF(E18&lt;0.45,"⚠️ TIGHT (35-45%)","❌ RISKY (&gt;45%)"))</f>
        <v/>
      </c>
    </row>
    <row r="25">
      <c r="A25" s="3" t="inlineStr">
        <is>
          <t>SECTION 4: YEAR-BY-YEAR LOAN REPAYMENT (10 Years)</t>
        </is>
      </c>
    </row>
    <row r="26">
      <c r="A26" s="12" t="inlineStr">
        <is>
          <t>Year</t>
        </is>
      </c>
      <c r="B26" s="12" t="inlineStr">
        <is>
          <t>Opening Balance</t>
        </is>
      </c>
      <c r="C26" s="12" t="inlineStr">
        <is>
          <t>Principal Paid</t>
        </is>
      </c>
      <c r="D26" s="12" t="inlineStr">
        <is>
          <t>Interest Paid</t>
        </is>
      </c>
      <c r="E26" s="12" t="inlineStr">
        <is>
          <t>Closing Balance</t>
        </is>
      </c>
    </row>
    <row r="27">
      <c r="A27" s="13" t="n">
        <v>1</v>
      </c>
      <c r="B27" s="14">
        <f>B18</f>
        <v/>
      </c>
      <c r="C27" s="14">
        <f>E18*12-D27</f>
        <v/>
      </c>
      <c r="D27" s="14">
        <f>B27*E6</f>
        <v/>
      </c>
      <c r="E27" s="14">
        <f>B27-C27</f>
        <v/>
      </c>
    </row>
    <row r="28">
      <c r="A28" s="13" t="n">
        <v>2</v>
      </c>
      <c r="B28" s="14">
        <f>E27</f>
        <v/>
      </c>
      <c r="C28" s="14">
        <f>E18*12-D28</f>
        <v/>
      </c>
      <c r="D28" s="14">
        <f>B28*E6</f>
        <v/>
      </c>
      <c r="E28" s="14">
        <f>MAX(0,B28-C28)</f>
        <v/>
      </c>
    </row>
    <row r="29">
      <c r="A29" s="13" t="n">
        <v>3</v>
      </c>
      <c r="B29" s="14">
        <f>E28</f>
        <v/>
      </c>
      <c r="C29" s="14">
        <f>E18*12-D29</f>
        <v/>
      </c>
      <c r="D29" s="14">
        <f>B29*E6</f>
        <v/>
      </c>
      <c r="E29" s="14">
        <f>MAX(0,B29-C29)</f>
        <v/>
      </c>
    </row>
    <row r="30">
      <c r="A30" s="13" t="n">
        <v>4</v>
      </c>
      <c r="B30" s="14">
        <f>E29</f>
        <v/>
      </c>
      <c r="C30" s="14">
        <f>E18*12-D30</f>
        <v/>
      </c>
      <c r="D30" s="14">
        <f>B30*E6</f>
        <v/>
      </c>
      <c r="E30" s="14">
        <f>MAX(0,B30-C30)</f>
        <v/>
      </c>
    </row>
    <row r="31">
      <c r="A31" s="13" t="n">
        <v>5</v>
      </c>
      <c r="B31" s="14">
        <f>E30</f>
        <v/>
      </c>
      <c r="C31" s="14">
        <f>E18*12-D31</f>
        <v/>
      </c>
      <c r="D31" s="14">
        <f>B31*E6</f>
        <v/>
      </c>
      <c r="E31" s="14">
        <f>MAX(0,B31-C31)</f>
        <v/>
      </c>
    </row>
    <row r="32">
      <c r="A32" s="13" t="n">
        <v>6</v>
      </c>
      <c r="B32" s="14">
        <f>E31</f>
        <v/>
      </c>
      <c r="C32" s="14">
        <f>E18*12-D32</f>
        <v/>
      </c>
      <c r="D32" s="14">
        <f>B32*E6</f>
        <v/>
      </c>
      <c r="E32" s="14">
        <f>MAX(0,B32-C32)</f>
        <v/>
      </c>
    </row>
    <row r="33">
      <c r="A33" s="13" t="n">
        <v>7</v>
      </c>
      <c r="B33" s="14">
        <f>E32</f>
        <v/>
      </c>
      <c r="C33" s="14">
        <f>E18*12-D33</f>
        <v/>
      </c>
      <c r="D33" s="14">
        <f>B33*E6</f>
        <v/>
      </c>
      <c r="E33" s="14">
        <f>MAX(0,B33-C33)</f>
        <v/>
      </c>
    </row>
    <row r="34">
      <c r="A34" s="13" t="n">
        <v>8</v>
      </c>
      <c r="B34" s="14">
        <f>E33</f>
        <v/>
      </c>
      <c r="C34" s="14">
        <f>E18*12-D34</f>
        <v/>
      </c>
      <c r="D34" s="14">
        <f>B34*E6</f>
        <v/>
      </c>
      <c r="E34" s="14">
        <f>MAX(0,B34-C34)</f>
        <v/>
      </c>
    </row>
    <row r="35">
      <c r="A35" s="13" t="n">
        <v>9</v>
      </c>
      <c r="B35" s="14">
        <f>E34</f>
        <v/>
      </c>
      <c r="C35" s="14">
        <f>E18*12-D35</f>
        <v/>
      </c>
      <c r="D35" s="14">
        <f>B35*E6</f>
        <v/>
      </c>
      <c r="E35" s="14">
        <f>MAX(0,B35-C35)</f>
        <v/>
      </c>
    </row>
    <row r="36">
      <c r="A36" s="13" t="n">
        <v>10</v>
      </c>
      <c r="B36" s="14">
        <f>E35</f>
        <v/>
      </c>
      <c r="C36" s="14">
        <f>E18*12-D36</f>
        <v/>
      </c>
      <c r="D36" s="14">
        <f>B36*E6</f>
        <v/>
      </c>
      <c r="E36" s="14">
        <f>MAX(0,B36-C36)</f>
        <v/>
      </c>
    </row>
    <row r="38">
      <c r="A38" s="3" t="inlineStr">
        <is>
          <t>SECTION 5: BUY vs RENT NET WORTH COMPARISON (10 Years)</t>
        </is>
      </c>
    </row>
    <row r="39">
      <c r="A39" s="12" t="inlineStr">
        <is>
          <t>Year</t>
        </is>
      </c>
      <c r="B39" s="12" t="inlineStr">
        <is>
          <t>Property Value</t>
        </is>
      </c>
      <c r="C39" s="12" t="inlineStr">
        <is>
          <t>Loan Balance</t>
        </is>
      </c>
      <c r="D39" s="12" t="inlineStr">
        <is>
          <t>Net Equity</t>
        </is>
      </c>
      <c r="E39" s="12" t="inlineStr">
        <is>
          <t>SIP Portfolio</t>
        </is>
      </c>
    </row>
    <row r="40">
      <c r="A40" s="13" t="n">
        <v>0</v>
      </c>
      <c r="B40" s="14">
        <f>B6</f>
        <v/>
      </c>
      <c r="C40" s="14">
        <f>B18</f>
        <v/>
      </c>
      <c r="D40" s="14">
        <f>-B8</f>
        <v/>
      </c>
      <c r="E40" s="14">
        <f>B8</f>
        <v/>
      </c>
    </row>
    <row r="41">
      <c r="A41" s="13" t="n">
        <v>1</v>
      </c>
      <c r="B41" s="14">
        <f>B6*(1+B13)^A41</f>
        <v/>
      </c>
      <c r="C41" s="14">
        <f>E27</f>
        <v/>
      </c>
      <c r="D41" s="14">
        <f>B41-C41</f>
        <v/>
      </c>
      <c r="E41" s="14">
        <f>E40*(1+E14)+(E18*12)*(((1+E14)-1)/E14)*(1+E14)</f>
        <v/>
      </c>
    </row>
    <row r="42">
      <c r="A42" s="13" t="n">
        <v>2</v>
      </c>
      <c r="B42" s="14">
        <f>B6*(1+B13)^A42</f>
        <v/>
      </c>
      <c r="C42" s="14">
        <f>E28</f>
        <v/>
      </c>
      <c r="D42" s="14">
        <f>B42-C42</f>
        <v/>
      </c>
      <c r="E42" s="14">
        <f>E41*(1+E14)+(E18*12)*(((1+E14)-1)/E14)*(1+E14)</f>
        <v/>
      </c>
    </row>
    <row r="43">
      <c r="A43" s="13" t="n">
        <v>3</v>
      </c>
      <c r="B43" s="14">
        <f>B6*(1+B13)^A43</f>
        <v/>
      </c>
      <c r="C43" s="14">
        <f>E29</f>
        <v/>
      </c>
      <c r="D43" s="14">
        <f>B43-C43</f>
        <v/>
      </c>
      <c r="E43" s="14">
        <f>E42*(1+E14)+(E18*12)*(((1+E14)-1)/E14)*(1+E14)</f>
        <v/>
      </c>
    </row>
    <row r="44">
      <c r="A44" s="13" t="n">
        <v>4</v>
      </c>
      <c r="B44" s="14">
        <f>B6*(1+B13)^A44</f>
        <v/>
      </c>
      <c r="C44" s="14">
        <f>E30</f>
        <v/>
      </c>
      <c r="D44" s="14">
        <f>B44-C44</f>
        <v/>
      </c>
      <c r="E44" s="14">
        <f>E43*(1+E14)+(E18*12)*(((1+E14)-1)/E14)*(1+E14)</f>
        <v/>
      </c>
    </row>
    <row r="45">
      <c r="A45" s="13" t="n">
        <v>5</v>
      </c>
      <c r="B45" s="14">
        <f>B6*(1+B13)^A45</f>
        <v/>
      </c>
      <c r="C45" s="14">
        <f>E31</f>
        <v/>
      </c>
      <c r="D45" s="14">
        <f>B45-C45</f>
        <v/>
      </c>
      <c r="E45" s="14">
        <f>E44*(1+E14)+(E18*12)*(((1+E14)-1)/E14)*(1+E14)</f>
        <v/>
      </c>
    </row>
    <row r="46">
      <c r="A46" s="13" t="n">
        <v>6</v>
      </c>
      <c r="B46" s="14">
        <f>B6*(1+B13)^A46</f>
        <v/>
      </c>
      <c r="C46" s="14">
        <f>E32</f>
        <v/>
      </c>
      <c r="D46" s="14">
        <f>B46-C46</f>
        <v/>
      </c>
      <c r="E46" s="14">
        <f>E45*(1+E14)+(E18*12)*(((1+E14)-1)/E14)*(1+E14)</f>
        <v/>
      </c>
    </row>
    <row r="47">
      <c r="A47" s="13" t="n">
        <v>7</v>
      </c>
      <c r="B47" s="14">
        <f>B6*(1+B13)^A47</f>
        <v/>
      </c>
      <c r="C47" s="14">
        <f>E33</f>
        <v/>
      </c>
      <c r="D47" s="14">
        <f>B47-C47</f>
        <v/>
      </c>
      <c r="E47" s="14">
        <f>E46*(1+E14)+(E18*12)*(((1+E14)-1)/E14)*(1+E14)</f>
        <v/>
      </c>
    </row>
    <row r="48">
      <c r="A48" s="13" t="n">
        <v>8</v>
      </c>
      <c r="B48" s="14">
        <f>B6*(1+B13)^A48</f>
        <v/>
      </c>
      <c r="C48" s="14">
        <f>E34</f>
        <v/>
      </c>
      <c r="D48" s="14">
        <f>B48-C48</f>
        <v/>
      </c>
      <c r="E48" s="14">
        <f>E47*(1+E14)+(E18*12)*(((1+E14)-1)/E14)*(1+E14)</f>
        <v/>
      </c>
    </row>
    <row r="49">
      <c r="A49" s="13" t="n">
        <v>9</v>
      </c>
      <c r="B49" s="14">
        <f>B6*(1+B13)^A49</f>
        <v/>
      </c>
      <c r="C49" s="14">
        <f>E35</f>
        <v/>
      </c>
      <c r="D49" s="14">
        <f>B49-C49</f>
        <v/>
      </c>
      <c r="E49" s="14">
        <f>E48*(1+E14)+(E18*12)*(((1+E14)-1)/E14)*(1+E14)</f>
        <v/>
      </c>
    </row>
    <row r="50">
      <c r="A50" s="13" t="n">
        <v>10</v>
      </c>
      <c r="B50" s="14">
        <f>B6*(1+B13)^A50</f>
        <v/>
      </c>
      <c r="C50" s="14">
        <f>E36</f>
        <v/>
      </c>
      <c r="D50" s="14">
        <f>B50-C50</f>
        <v/>
      </c>
      <c r="E50" s="14">
        <f>E49*(1+E14)+(E18*12)*(((1+E14)-1)/E14)*(1+E14)</f>
        <v/>
      </c>
    </row>
    <row r="52">
      <c r="A52" s="3" t="inlineStr">
        <is>
          <t>SECTION 6: FINAL VERDICT (After 10 Years)</t>
        </is>
      </c>
    </row>
    <row r="53">
      <c r="A53" s="12" t="inlineStr"/>
      <c r="B53" s="12" t="inlineStr">
        <is>
          <t>BUY Scenario</t>
        </is>
      </c>
      <c r="C53" s="12" t="inlineStr">
        <is>
          <t>RENT Scenario</t>
        </is>
      </c>
      <c r="D53" s="12" t="inlineStr">
        <is>
          <t>Difference</t>
        </is>
      </c>
      <c r="E53" s="12" t="inlineStr">
        <is>
          <t>Winner</t>
        </is>
      </c>
    </row>
    <row r="54">
      <c r="A54" s="8" t="inlineStr">
        <is>
          <t>Net Equity in Property</t>
        </is>
      </c>
      <c r="B54" s="14">
        <f>D50</f>
        <v/>
      </c>
      <c r="C54" s="14" t="n">
        <v>0</v>
      </c>
      <c r="D54" s="14">
        <f>B54-C54</f>
        <v/>
      </c>
      <c r="E54" s="15" t="inlineStr"/>
    </row>
    <row r="55">
      <c r="A55" s="8" t="inlineStr">
        <is>
          <t>Additional SIP Portfolio</t>
        </is>
      </c>
      <c r="B55" s="14">
        <f>(B14*12*E8)*(((1+E14)^E8-1)/E14)*(1+E14)</f>
        <v/>
      </c>
      <c r="C55" s="14">
        <f>E50</f>
        <v/>
      </c>
      <c r="D55" s="14">
        <f>B55-C55</f>
        <v/>
      </c>
      <c r="E55" s="15" t="inlineStr"/>
    </row>
    <row r="56">
      <c r="A56" s="8" t="inlineStr">
        <is>
          <t>TOTAL NET WORTH</t>
        </is>
      </c>
      <c r="B56" s="16">
        <f>B54+B55</f>
        <v/>
      </c>
      <c r="C56" s="17">
        <f>C55</f>
        <v/>
      </c>
      <c r="D56" s="16">
        <f>B56-C56</f>
        <v/>
      </c>
      <c r="E56" s="18">
        <f>IF(C56&gt;B56,"🏆 RENT","🏆 BUY")</f>
        <v/>
      </c>
    </row>
    <row r="58" ht="35" customHeight="1">
      <c r="A58" s="19">
        <f>IF(C56&gt;B56,"🏆 RENTING &amp; INVESTING gives you ₹"&amp;TEXT(ABS(D56),"#,##0")&amp;" more net worth after 10 years!","🏆 BUYING gives you ₹"&amp;TEXT(ABS(D56),"#,##0")&amp;" more net worth after 10 years!")</f>
        <v/>
      </c>
    </row>
    <row r="60" ht="30" customHeight="1">
      <c r="A60" s="20" t="inlineStr">
        <is>
          <t>⚠️ Note: Financial winner ≠ Only factor. Home ownership provides stability, emotional security &amp; protection from rent increases.</t>
        </is>
      </c>
    </row>
  </sheetData>
  <mergeCells count="12">
    <mergeCell ref="A4:E4"/>
    <mergeCell ref="A38:E38"/>
    <mergeCell ref="A2:E2"/>
    <mergeCell ref="A16:E16"/>
    <mergeCell ref="A52:E52"/>
    <mergeCell ref="C23:E23"/>
    <mergeCell ref="A25:E25"/>
    <mergeCell ref="A60:E60"/>
    <mergeCell ref="A1:E1"/>
    <mergeCell ref="A23:B23"/>
    <mergeCell ref="A58:E5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2026-07-06T19:49:07Z</dcterms:created>
  <dcterms:modified xsi:type="dcterms:W3CDTF">2026-07-06T19:49:07Z</dcterms:modified>
</cp:coreProperties>
</file>