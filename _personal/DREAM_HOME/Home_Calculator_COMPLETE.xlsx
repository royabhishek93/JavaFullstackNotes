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. Summary" sheetId="1" state="visible" r:id="rId1"/>
    <sheet name="1. Inputs" sheetId="2" state="visible" r:id="rId2"/>
    <sheet name="2. Amortization" sheetId="3" state="visible" r:id="rId3"/>
    <sheet name="3. Yearly Summary" sheetId="4" state="visible" r:id="rId4"/>
    <sheet name="4. Buy vs R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1"/>
    </font>
    <font>
      <b val="1"/>
      <color rgb="001F4E78"/>
      <sz val="12"/>
    </font>
    <font>
      <b val="1"/>
      <color rgb="00FFFFFF"/>
      <sz val="12"/>
    </font>
    <font>
      <b val="1"/>
      <color rgb="001F4E78"/>
      <sz val="16"/>
    </font>
    <font>
      <b val="1"/>
    </font>
    <font/>
    <font>
      <b val="1"/>
      <color rgb="00006100"/>
      <sz val="14"/>
    </font>
    <font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E7F3E7"/>
        <bgColor rgb="00E7F3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7" fillId="0" borderId="1" pivotButton="0" quotePrefix="0" xfId="0"/>
    <xf numFmtId="3" fontId="0" fillId="0" borderId="1" pivotButton="0" quotePrefix="0" xfId="0"/>
    <xf numFmtId="0" fontId="6" fillId="0" borderId="1" pivotButton="0" quotePrefix="0" xfId="0"/>
    <xf numFmtId="3" fontId="6" fillId="5" borderId="1" pivotButton="0" quotePrefix="0" xfId="0"/>
    <xf numFmtId="3" fontId="6" fillId="6" borderId="1" pivotButton="0" quotePrefix="0" xfId="0"/>
    <xf numFmtId="0" fontId="8" fillId="5" borderId="0" applyAlignment="1" pivotButton="0" quotePrefix="0" xfId="0">
      <alignment horizontal="center"/>
    </xf>
    <xf numFmtId="0" fontId="9" fillId="0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/>
    </xf>
    <xf numFmtId="0" fontId="0" fillId="3" borderId="1" pivotButton="0" quotePrefix="0" xfId="0"/>
    <xf numFmtId="3" fontId="0" fillId="6" borderId="1" pivotButton="0" quotePrefix="0" xfId="0"/>
    <xf numFmtId="10" fontId="0" fillId="6" borderId="1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3" fontId="0" fillId="3" borderId="1" pivotButton="0" quotePrefix="0" xfId="0"/>
    <xf numFmtId="10" fontId="0" fillId="3" borderId="1" pivotButton="0" quotePrefix="0" xfId="0"/>
    <xf numFmtId="0" fontId="3" fillId="0" borderId="0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 ht="35" customHeight="1">
      <c r="A1" s="1" t="inlineStr">
        <is>
          <t>🏠 HOME PURCHASE DECISION SUMMARY</t>
        </is>
      </c>
    </row>
    <row r="3">
      <c r="A3" s="2" t="inlineStr">
        <is>
          <t>KEY METRICS (After 10 Years)</t>
        </is>
      </c>
    </row>
    <row r="4">
      <c r="A4" s="3" t="inlineStr"/>
      <c r="B4" s="3" t="inlineStr">
        <is>
          <t>BUY Scenario</t>
        </is>
      </c>
      <c r="C4" s="3" t="inlineStr">
        <is>
          <t>RENT Scenario</t>
        </is>
      </c>
      <c r="D4" s="3" t="inlineStr">
        <is>
          <t>Difference</t>
        </is>
      </c>
    </row>
    <row r="5">
      <c r="A5" s="4" t="inlineStr">
        <is>
          <t>Property Value</t>
        </is>
      </c>
      <c r="B5" s="5">
        <f>'4. Buy vs Rent'!B14</f>
        <v/>
      </c>
      <c r="C5" s="5">
        <f>0</f>
        <v/>
      </c>
      <c r="D5" s="5">
        <f>B5-C5</f>
        <v/>
      </c>
    </row>
    <row r="6">
      <c r="A6" s="4" t="inlineStr">
        <is>
          <t>Loan Balance</t>
        </is>
      </c>
      <c r="B6" s="5">
        <f>'4. Buy vs Rent'!C14</f>
        <v/>
      </c>
      <c r="C6" s="5">
        <f>0</f>
        <v/>
      </c>
      <c r="D6" s="5">
        <f>B6-C6</f>
        <v/>
      </c>
    </row>
    <row r="7">
      <c r="A7" s="4" t="inlineStr">
        <is>
          <t>Net Equity</t>
        </is>
      </c>
      <c r="B7" s="5">
        <f>'4. Buy vs Rent'!D14</f>
        <v/>
      </c>
      <c r="C7" s="5">
        <f>0</f>
        <v/>
      </c>
      <c r="D7" s="5">
        <f>B7-C7</f>
        <v/>
      </c>
    </row>
    <row r="8">
      <c r="A8" s="4" t="inlineStr">
        <is>
          <t>SIP Portfolio</t>
        </is>
      </c>
      <c r="B8" s="5">
        <f>'4. Buy vs Rent'!G14-'4. Buy vs Rent'!D14</f>
        <v/>
      </c>
      <c r="C8" s="5">
        <f>'4. Buy vs Rent'!H14</f>
        <v/>
      </c>
      <c r="D8" s="5">
        <f>B8-C8</f>
        <v/>
      </c>
    </row>
    <row r="9">
      <c r="A9" s="6" t="inlineStr">
        <is>
          <t>TOTAL NET WORTH</t>
        </is>
      </c>
      <c r="B9" s="7">
        <f>'4. Buy vs Rent'!G14</f>
        <v/>
      </c>
      <c r="C9" s="8">
        <f>'4. Buy vs Rent'!H14</f>
        <v/>
      </c>
      <c r="D9" s="8">
        <f>B9-C9</f>
        <v/>
      </c>
    </row>
    <row r="11" ht="30" customHeight="1">
      <c r="A11" s="9">
        <f>IF(C9&gt;B9,"🏆 RENT WINS by ₹"&amp;TEXT(ABS(D9),"#,##0"),"🏆 BUY WINS by ₹"&amp;TEXT(ABS(D9),"#,##0"))</f>
        <v/>
      </c>
    </row>
    <row r="13" ht="30" customHeight="1">
      <c r="A13" s="10" t="inlineStr">
        <is>
          <t>💡 TO USE: Go to '1. Inputs' sheet → Change yellow cells → All sheets update!</t>
        </is>
      </c>
    </row>
    <row r="15">
      <c r="A15" s="11" t="inlineStr">
        <is>
          <t>Current Inputs</t>
        </is>
      </c>
    </row>
    <row r="16">
      <c r="A16" s="12" t="inlineStr">
        <is>
          <t>Property Price</t>
        </is>
      </c>
      <c r="B16" s="13">
        <f>'1. Inputs'!B4</f>
        <v/>
      </c>
      <c r="C16" s="12" t="inlineStr">
        <is>
          <t>EMI</t>
        </is>
      </c>
      <c r="D16" s="13">
        <f>'2. Amortization'!C4</f>
        <v/>
      </c>
    </row>
    <row r="17">
      <c r="A17" s="12" t="inlineStr">
        <is>
          <t>Loan Amount</t>
        </is>
      </c>
      <c r="B17" s="13">
        <f>'1. Inputs'!B4-'1. Inputs'!B5-'1. Inputs'!B6</f>
        <v/>
      </c>
      <c r="C17" s="12" t="inlineStr">
        <is>
          <t>EMI % of Income</t>
        </is>
      </c>
      <c r="D17" s="14">
        <f>'2. Amortization'!C4/('1. Inputs'!B14+'1. Inputs'!B15)</f>
        <v/>
      </c>
    </row>
    <row r="18">
      <c r="A18" s="12" t="inlineStr">
        <is>
          <t>Interest Rate</t>
        </is>
      </c>
      <c r="B18" s="13">
        <f>'1. Inputs'!B9</f>
        <v/>
      </c>
      <c r="C18" s="12" t="inlineStr">
        <is>
          <t>Property Value (10Y)</t>
        </is>
      </c>
      <c r="D18" s="13">
        <f>'4. Buy vs Rent'!B14</f>
        <v/>
      </c>
    </row>
  </sheetData>
  <mergeCells count="5">
    <mergeCell ref="A1:D1"/>
    <mergeCell ref="A3:D3"/>
    <mergeCell ref="A15:D15"/>
    <mergeCell ref="A11:D11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30" customHeight="1">
      <c r="A1" s="15" t="inlineStr">
        <is>
          <t>HOME PURCHASE CALCULATOR - CHANGE YELLOW CELLS</t>
        </is>
      </c>
    </row>
    <row r="3">
      <c r="A3" s="16" t="inlineStr">
        <is>
          <t>Property Details</t>
        </is>
      </c>
    </row>
    <row r="4">
      <c r="A4" s="12" t="inlineStr">
        <is>
          <t>Property Price</t>
        </is>
      </c>
      <c r="B4" s="17" t="n">
        <v>14500000</v>
      </c>
    </row>
    <row r="5">
      <c r="A5" s="12" t="inlineStr">
        <is>
          <t>Stamp &amp; Registration</t>
        </is>
      </c>
      <c r="B5" s="17" t="n">
        <v>1000000</v>
      </c>
    </row>
    <row r="6">
      <c r="A6" s="12" t="inlineStr">
        <is>
          <t>Down Payment</t>
        </is>
      </c>
      <c r="B6" s="17" t="n">
        <v>4000000</v>
      </c>
    </row>
    <row r="8">
      <c r="A8" s="16" t="inlineStr">
        <is>
          <t>Loan Terms</t>
        </is>
      </c>
    </row>
    <row r="9">
      <c r="A9" s="12" t="inlineStr">
        <is>
          <t>Interest Rate (Annual)</t>
        </is>
      </c>
      <c r="B9" s="18" t="n">
        <v>0.07149999999999999</v>
      </c>
    </row>
    <row r="10">
      <c r="A10" s="12" t="inlineStr">
        <is>
          <t>Loan Tenure (Years)</t>
        </is>
      </c>
      <c r="B10" s="12" t="n">
        <v>15</v>
      </c>
    </row>
    <row r="11">
      <c r="A11" s="12" t="inlineStr">
        <is>
          <t>Analysis Period (Years)</t>
        </is>
      </c>
      <c r="B11" s="12" t="n">
        <v>10</v>
      </c>
    </row>
    <row r="13">
      <c r="A13" s="16" t="inlineStr">
        <is>
          <t>Income (Monthly)</t>
        </is>
      </c>
    </row>
    <row r="14">
      <c r="A14" s="12" t="inlineStr">
        <is>
          <t>Husband Salary</t>
        </is>
      </c>
      <c r="B14" s="17" t="n">
        <v>225000</v>
      </c>
    </row>
    <row r="15">
      <c r="A15" s="12" t="inlineStr">
        <is>
          <t>Wife Salary</t>
        </is>
      </c>
      <c r="B15" s="17" t="n">
        <v>150000</v>
      </c>
    </row>
    <row r="17">
      <c r="A17" s="16" t="inlineStr">
        <is>
          <t>Market Assumptions</t>
        </is>
      </c>
    </row>
    <row r="18">
      <c r="A18" s="12" t="inlineStr">
        <is>
          <t>Current Monthly Rent</t>
        </is>
      </c>
      <c r="B18" s="17" t="n">
        <v>27000</v>
      </c>
    </row>
    <row r="19">
      <c r="A19" s="12" t="inlineStr">
        <is>
          <t>Rent Growth Rate</t>
        </is>
      </c>
      <c r="B19" s="18" t="n">
        <v>0.05</v>
      </c>
    </row>
    <row r="20">
      <c r="A20" s="12" t="inlineStr">
        <is>
          <t>Property Appreciation Rate</t>
        </is>
      </c>
      <c r="B20" s="18" t="n">
        <v>0.04</v>
      </c>
    </row>
    <row r="21">
      <c r="A21" s="12" t="inlineStr">
        <is>
          <t>SIP Return Rate</t>
        </is>
      </c>
      <c r="B21" s="18" t="n">
        <v>0.12</v>
      </c>
    </row>
    <row r="22">
      <c r="A22" s="12" t="inlineStr">
        <is>
          <t>Additional Monthly SIP (if buying)</t>
        </is>
      </c>
      <c r="B22" s="17" t="n">
        <v>30000</v>
      </c>
    </row>
  </sheetData>
  <mergeCells count="5">
    <mergeCell ref="A13:B13"/>
    <mergeCell ref="A1:B1"/>
    <mergeCell ref="A17:B17"/>
    <mergeCell ref="A8:B8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0" customHeight="1">
      <c r="A1" s="19" t="inlineStr">
        <is>
          <t>MONTH-BY-MONTH LOAN REPAYMENT</t>
        </is>
      </c>
    </row>
    <row r="3">
      <c r="A3" s="20" t="inlineStr">
        <is>
          <t>Month</t>
        </is>
      </c>
      <c r="B3" s="20" t="inlineStr">
        <is>
          <t>Opening Balance</t>
        </is>
      </c>
      <c r="C3" s="20" t="inlineStr">
        <is>
          <t>EMI</t>
        </is>
      </c>
      <c r="D3" s="20" t="inlineStr">
        <is>
          <t>Interest</t>
        </is>
      </c>
      <c r="E3" s="20" t="inlineStr">
        <is>
          <t>Principal</t>
        </is>
      </c>
      <c r="F3" s="20" t="inlineStr">
        <is>
          <t>Closing Balance</t>
        </is>
      </c>
    </row>
    <row r="4">
      <c r="A4" s="21" t="n">
        <v>1</v>
      </c>
      <c r="B4" s="5">
        <f>'1. Inputs'!B4-'1. Inputs'!B5-'1. Inputs'!B6</f>
        <v/>
      </c>
      <c r="C4" s="5">
        <f>-PMT('1. Inputs'!B9/12,'1. Inputs'!B10*12,B4)</f>
        <v/>
      </c>
      <c r="D4" s="5">
        <f>B4*'1. Inputs'!B9/12</f>
        <v/>
      </c>
      <c r="E4" s="5">
        <f>C4-D4</f>
        <v/>
      </c>
      <c r="F4" s="5">
        <f>MAX(0,B4-E4)</f>
        <v/>
      </c>
    </row>
    <row r="5">
      <c r="A5" s="21">
        <f>A4+1</f>
        <v/>
      </c>
      <c r="B5" s="5">
        <f>F4</f>
        <v/>
      </c>
      <c r="C5" s="5">
        <f>$C$4</f>
        <v/>
      </c>
      <c r="D5" s="5">
        <f>B5*'1. Inputs'!$B$9/12</f>
        <v/>
      </c>
      <c r="E5" s="5">
        <f>C5-D5</f>
        <v/>
      </c>
      <c r="F5" s="5">
        <f>MAX(0,B5-E5)</f>
        <v/>
      </c>
    </row>
    <row r="6">
      <c r="A6" s="21">
        <f>A5+1</f>
        <v/>
      </c>
      <c r="B6" s="5">
        <f>F5</f>
        <v/>
      </c>
      <c r="C6" s="5">
        <f>$C$4</f>
        <v/>
      </c>
      <c r="D6" s="5">
        <f>B6*'1. Inputs'!$B$9/12</f>
        <v/>
      </c>
      <c r="E6" s="5">
        <f>C6-D6</f>
        <v/>
      </c>
      <c r="F6" s="5">
        <f>MAX(0,B6-E6)</f>
        <v/>
      </c>
    </row>
    <row r="7">
      <c r="A7" s="21">
        <f>A6+1</f>
        <v/>
      </c>
      <c r="B7" s="5">
        <f>F6</f>
        <v/>
      </c>
      <c r="C7" s="5">
        <f>$C$4</f>
        <v/>
      </c>
      <c r="D7" s="5">
        <f>B7*'1. Inputs'!$B$9/12</f>
        <v/>
      </c>
      <c r="E7" s="5">
        <f>C7-D7</f>
        <v/>
      </c>
      <c r="F7" s="5">
        <f>MAX(0,B7-E7)</f>
        <v/>
      </c>
    </row>
    <row r="8">
      <c r="A8" s="21">
        <f>A7+1</f>
        <v/>
      </c>
      <c r="B8" s="5">
        <f>F7</f>
        <v/>
      </c>
      <c r="C8" s="5">
        <f>$C$4</f>
        <v/>
      </c>
      <c r="D8" s="5">
        <f>B8*'1. Inputs'!$B$9/12</f>
        <v/>
      </c>
      <c r="E8" s="5">
        <f>C8-D8</f>
        <v/>
      </c>
      <c r="F8" s="5">
        <f>MAX(0,B8-E8)</f>
        <v/>
      </c>
    </row>
    <row r="9">
      <c r="A9" s="21">
        <f>A8+1</f>
        <v/>
      </c>
      <c r="B9" s="5">
        <f>F8</f>
        <v/>
      </c>
      <c r="C9" s="5">
        <f>$C$4</f>
        <v/>
      </c>
      <c r="D9" s="5">
        <f>B9*'1. Inputs'!$B$9/12</f>
        <v/>
      </c>
      <c r="E9" s="5">
        <f>C9-D9</f>
        <v/>
      </c>
      <c r="F9" s="5">
        <f>MAX(0,B9-E9)</f>
        <v/>
      </c>
    </row>
    <row r="10">
      <c r="A10" s="21">
        <f>A9+1</f>
        <v/>
      </c>
      <c r="B10" s="5">
        <f>F9</f>
        <v/>
      </c>
      <c r="C10" s="5">
        <f>$C$4</f>
        <v/>
      </c>
      <c r="D10" s="5">
        <f>B10*'1. Inputs'!$B$9/12</f>
        <v/>
      </c>
      <c r="E10" s="5">
        <f>C10-D10</f>
        <v/>
      </c>
      <c r="F10" s="5">
        <f>MAX(0,B10-E10)</f>
        <v/>
      </c>
    </row>
    <row r="11">
      <c r="A11" s="21">
        <f>A10+1</f>
        <v/>
      </c>
      <c r="B11" s="5">
        <f>F10</f>
        <v/>
      </c>
      <c r="C11" s="5">
        <f>$C$4</f>
        <v/>
      </c>
      <c r="D11" s="5">
        <f>B11*'1. Inputs'!$B$9/12</f>
        <v/>
      </c>
      <c r="E11" s="5">
        <f>C11-D11</f>
        <v/>
      </c>
      <c r="F11" s="5">
        <f>MAX(0,B11-E11)</f>
        <v/>
      </c>
    </row>
    <row r="12">
      <c r="A12" s="21">
        <f>A11+1</f>
        <v/>
      </c>
      <c r="B12" s="5">
        <f>F11</f>
        <v/>
      </c>
      <c r="C12" s="5">
        <f>$C$4</f>
        <v/>
      </c>
      <c r="D12" s="5">
        <f>B12*'1. Inputs'!$B$9/12</f>
        <v/>
      </c>
      <c r="E12" s="5">
        <f>C12-D12</f>
        <v/>
      </c>
      <c r="F12" s="5">
        <f>MAX(0,B12-E12)</f>
        <v/>
      </c>
    </row>
    <row r="13">
      <c r="A13" s="21">
        <f>A12+1</f>
        <v/>
      </c>
      <c r="B13" s="5">
        <f>F12</f>
        <v/>
      </c>
      <c r="C13" s="5">
        <f>$C$4</f>
        <v/>
      </c>
      <c r="D13" s="5">
        <f>B13*'1. Inputs'!$B$9/12</f>
        <v/>
      </c>
      <c r="E13" s="5">
        <f>C13-D13</f>
        <v/>
      </c>
      <c r="F13" s="5">
        <f>MAX(0,B13-E13)</f>
        <v/>
      </c>
    </row>
    <row r="14">
      <c r="A14" s="21">
        <f>A13+1</f>
        <v/>
      </c>
      <c r="B14" s="5">
        <f>F13</f>
        <v/>
      </c>
      <c r="C14" s="5">
        <f>$C$4</f>
        <v/>
      </c>
      <c r="D14" s="5">
        <f>B14*'1. Inputs'!$B$9/12</f>
        <v/>
      </c>
      <c r="E14" s="5">
        <f>C14-D14</f>
        <v/>
      </c>
      <c r="F14" s="5">
        <f>MAX(0,B14-E14)</f>
        <v/>
      </c>
    </row>
    <row r="15">
      <c r="A15" s="21">
        <f>A14+1</f>
        <v/>
      </c>
      <c r="B15" s="5">
        <f>F14</f>
        <v/>
      </c>
      <c r="C15" s="5">
        <f>$C$4</f>
        <v/>
      </c>
      <c r="D15" s="5">
        <f>B15*'1. Inputs'!$B$9/12</f>
        <v/>
      </c>
      <c r="E15" s="5">
        <f>C15-D15</f>
        <v/>
      </c>
      <c r="F15" s="5">
        <f>MAX(0,B15-E15)</f>
        <v/>
      </c>
    </row>
    <row r="16">
      <c r="A16" s="21">
        <f>A15+1</f>
        <v/>
      </c>
      <c r="B16" s="5">
        <f>F15</f>
        <v/>
      </c>
      <c r="C16" s="5">
        <f>$C$4</f>
        <v/>
      </c>
      <c r="D16" s="5">
        <f>B16*'1. Inputs'!$B$9/12</f>
        <v/>
      </c>
      <c r="E16" s="5">
        <f>C16-D16</f>
        <v/>
      </c>
      <c r="F16" s="5">
        <f>MAX(0,B16-E16)</f>
        <v/>
      </c>
    </row>
    <row r="17">
      <c r="A17" s="21">
        <f>A16+1</f>
        <v/>
      </c>
      <c r="B17" s="5">
        <f>F16</f>
        <v/>
      </c>
      <c r="C17" s="5">
        <f>$C$4</f>
        <v/>
      </c>
      <c r="D17" s="5">
        <f>B17*'1. Inputs'!$B$9/12</f>
        <v/>
      </c>
      <c r="E17" s="5">
        <f>C17-D17</f>
        <v/>
      </c>
      <c r="F17" s="5">
        <f>MAX(0,B17-E17)</f>
        <v/>
      </c>
    </row>
    <row r="18">
      <c r="A18" s="21">
        <f>A17+1</f>
        <v/>
      </c>
      <c r="B18" s="5">
        <f>F17</f>
        <v/>
      </c>
      <c r="C18" s="5">
        <f>$C$4</f>
        <v/>
      </c>
      <c r="D18" s="5">
        <f>B18*'1. Inputs'!$B$9/12</f>
        <v/>
      </c>
      <c r="E18" s="5">
        <f>C18-D18</f>
        <v/>
      </c>
      <c r="F18" s="5">
        <f>MAX(0,B18-E18)</f>
        <v/>
      </c>
    </row>
    <row r="19">
      <c r="A19" s="21">
        <f>A18+1</f>
        <v/>
      </c>
      <c r="B19" s="5">
        <f>F18</f>
        <v/>
      </c>
      <c r="C19" s="5">
        <f>$C$4</f>
        <v/>
      </c>
      <c r="D19" s="5">
        <f>B19*'1. Inputs'!$B$9/12</f>
        <v/>
      </c>
      <c r="E19" s="5">
        <f>C19-D19</f>
        <v/>
      </c>
      <c r="F19" s="5">
        <f>MAX(0,B19-E19)</f>
        <v/>
      </c>
    </row>
    <row r="20">
      <c r="A20" s="21">
        <f>A19+1</f>
        <v/>
      </c>
      <c r="B20" s="5">
        <f>F19</f>
        <v/>
      </c>
      <c r="C20" s="5">
        <f>$C$4</f>
        <v/>
      </c>
      <c r="D20" s="5">
        <f>B20*'1. Inputs'!$B$9/12</f>
        <v/>
      </c>
      <c r="E20" s="5">
        <f>C20-D20</f>
        <v/>
      </c>
      <c r="F20" s="5">
        <f>MAX(0,B20-E20)</f>
        <v/>
      </c>
    </row>
    <row r="21">
      <c r="A21" s="21">
        <f>A20+1</f>
        <v/>
      </c>
      <c r="B21" s="5">
        <f>F20</f>
        <v/>
      </c>
      <c r="C21" s="5">
        <f>$C$4</f>
        <v/>
      </c>
      <c r="D21" s="5">
        <f>B21*'1. Inputs'!$B$9/12</f>
        <v/>
      </c>
      <c r="E21" s="5">
        <f>C21-D21</f>
        <v/>
      </c>
      <c r="F21" s="5">
        <f>MAX(0,B21-E21)</f>
        <v/>
      </c>
    </row>
    <row r="22">
      <c r="A22" s="21">
        <f>A21+1</f>
        <v/>
      </c>
      <c r="B22" s="5">
        <f>F21</f>
        <v/>
      </c>
      <c r="C22" s="5">
        <f>$C$4</f>
        <v/>
      </c>
      <c r="D22" s="5">
        <f>B22*'1. Inputs'!$B$9/12</f>
        <v/>
      </c>
      <c r="E22" s="5">
        <f>C22-D22</f>
        <v/>
      </c>
      <c r="F22" s="5">
        <f>MAX(0,B22-E22)</f>
        <v/>
      </c>
    </row>
    <row r="23">
      <c r="A23" s="21">
        <f>A22+1</f>
        <v/>
      </c>
      <c r="B23" s="5">
        <f>F22</f>
        <v/>
      </c>
      <c r="C23" s="5">
        <f>$C$4</f>
        <v/>
      </c>
      <c r="D23" s="5">
        <f>B23*'1. Inputs'!$B$9/12</f>
        <v/>
      </c>
      <c r="E23" s="5">
        <f>C23-D23</f>
        <v/>
      </c>
      <c r="F23" s="5">
        <f>MAX(0,B23-E23)</f>
        <v/>
      </c>
    </row>
    <row r="24">
      <c r="A24" s="21">
        <f>A23+1</f>
        <v/>
      </c>
      <c r="B24" s="5">
        <f>F23</f>
        <v/>
      </c>
      <c r="C24" s="5">
        <f>$C$4</f>
        <v/>
      </c>
      <c r="D24" s="5">
        <f>B24*'1. Inputs'!$B$9/12</f>
        <v/>
      </c>
      <c r="E24" s="5">
        <f>C24-D24</f>
        <v/>
      </c>
      <c r="F24" s="5">
        <f>MAX(0,B24-E24)</f>
        <v/>
      </c>
    </row>
    <row r="25">
      <c r="A25" s="21">
        <f>A24+1</f>
        <v/>
      </c>
      <c r="B25" s="5">
        <f>F24</f>
        <v/>
      </c>
      <c r="C25" s="5">
        <f>$C$4</f>
        <v/>
      </c>
      <c r="D25" s="5">
        <f>B25*'1. Inputs'!$B$9/12</f>
        <v/>
      </c>
      <c r="E25" s="5">
        <f>C25-D25</f>
        <v/>
      </c>
      <c r="F25" s="5">
        <f>MAX(0,B25-E25)</f>
        <v/>
      </c>
    </row>
    <row r="26">
      <c r="A26" s="21">
        <f>A25+1</f>
        <v/>
      </c>
      <c r="B26" s="5">
        <f>F25</f>
        <v/>
      </c>
      <c r="C26" s="5">
        <f>$C$4</f>
        <v/>
      </c>
      <c r="D26" s="5">
        <f>B26*'1. Inputs'!$B$9/12</f>
        <v/>
      </c>
      <c r="E26" s="5">
        <f>C26-D26</f>
        <v/>
      </c>
      <c r="F26" s="5">
        <f>MAX(0,B26-E26)</f>
        <v/>
      </c>
    </row>
    <row r="27">
      <c r="A27" s="21">
        <f>A26+1</f>
        <v/>
      </c>
      <c r="B27" s="5">
        <f>F26</f>
        <v/>
      </c>
      <c r="C27" s="5">
        <f>$C$4</f>
        <v/>
      </c>
      <c r="D27" s="5">
        <f>B27*'1. Inputs'!$B$9/12</f>
        <v/>
      </c>
      <c r="E27" s="5">
        <f>C27-D27</f>
        <v/>
      </c>
      <c r="F27" s="5">
        <f>MAX(0,B27-E27)</f>
        <v/>
      </c>
    </row>
    <row r="28">
      <c r="A28" s="21">
        <f>A27+1</f>
        <v/>
      </c>
      <c r="B28" s="5">
        <f>F27</f>
        <v/>
      </c>
      <c r="C28" s="5">
        <f>$C$4</f>
        <v/>
      </c>
      <c r="D28" s="5">
        <f>B28*'1. Inputs'!$B$9/12</f>
        <v/>
      </c>
      <c r="E28" s="5">
        <f>C28-D28</f>
        <v/>
      </c>
      <c r="F28" s="5">
        <f>MAX(0,B28-E28)</f>
        <v/>
      </c>
    </row>
    <row r="29">
      <c r="A29" s="21">
        <f>A28+1</f>
        <v/>
      </c>
      <c r="B29" s="5">
        <f>F28</f>
        <v/>
      </c>
      <c r="C29" s="5">
        <f>$C$4</f>
        <v/>
      </c>
      <c r="D29" s="5">
        <f>B29*'1. Inputs'!$B$9/12</f>
        <v/>
      </c>
      <c r="E29" s="5">
        <f>C29-D29</f>
        <v/>
      </c>
      <c r="F29" s="5">
        <f>MAX(0,B29-E29)</f>
        <v/>
      </c>
    </row>
    <row r="30">
      <c r="A30" s="21">
        <f>A29+1</f>
        <v/>
      </c>
      <c r="B30" s="5">
        <f>F29</f>
        <v/>
      </c>
      <c r="C30" s="5">
        <f>$C$4</f>
        <v/>
      </c>
      <c r="D30" s="5">
        <f>B30*'1. Inputs'!$B$9/12</f>
        <v/>
      </c>
      <c r="E30" s="5">
        <f>C30-D30</f>
        <v/>
      </c>
      <c r="F30" s="5">
        <f>MAX(0,B30-E30)</f>
        <v/>
      </c>
    </row>
    <row r="31">
      <c r="A31" s="21">
        <f>A30+1</f>
        <v/>
      </c>
      <c r="B31" s="5">
        <f>F30</f>
        <v/>
      </c>
      <c r="C31" s="5">
        <f>$C$4</f>
        <v/>
      </c>
      <c r="D31" s="5">
        <f>B31*'1. Inputs'!$B$9/12</f>
        <v/>
      </c>
      <c r="E31" s="5">
        <f>C31-D31</f>
        <v/>
      </c>
      <c r="F31" s="5">
        <f>MAX(0,B31-E31)</f>
        <v/>
      </c>
    </row>
    <row r="32">
      <c r="A32" s="21">
        <f>A31+1</f>
        <v/>
      </c>
      <c r="B32" s="5">
        <f>F31</f>
        <v/>
      </c>
      <c r="C32" s="5">
        <f>$C$4</f>
        <v/>
      </c>
      <c r="D32" s="5">
        <f>B32*'1. Inputs'!$B$9/12</f>
        <v/>
      </c>
      <c r="E32" s="5">
        <f>C32-D32</f>
        <v/>
      </c>
      <c r="F32" s="5">
        <f>MAX(0,B32-E32)</f>
        <v/>
      </c>
    </row>
    <row r="33">
      <c r="A33" s="21">
        <f>A32+1</f>
        <v/>
      </c>
      <c r="B33" s="5">
        <f>F32</f>
        <v/>
      </c>
      <c r="C33" s="5">
        <f>$C$4</f>
        <v/>
      </c>
      <c r="D33" s="5">
        <f>B33*'1. Inputs'!$B$9/12</f>
        <v/>
      </c>
      <c r="E33" s="5">
        <f>C33-D33</f>
        <v/>
      </c>
      <c r="F33" s="5">
        <f>MAX(0,B33-E33)</f>
        <v/>
      </c>
    </row>
    <row r="34">
      <c r="A34" s="21">
        <f>A33+1</f>
        <v/>
      </c>
      <c r="B34" s="5">
        <f>F33</f>
        <v/>
      </c>
      <c r="C34" s="5">
        <f>$C$4</f>
        <v/>
      </c>
      <c r="D34" s="5">
        <f>B34*'1. Inputs'!$B$9/12</f>
        <v/>
      </c>
      <c r="E34" s="5">
        <f>C34-D34</f>
        <v/>
      </c>
      <c r="F34" s="5">
        <f>MAX(0,B34-E34)</f>
        <v/>
      </c>
    </row>
    <row r="35">
      <c r="A35" s="21">
        <f>A34+1</f>
        <v/>
      </c>
      <c r="B35" s="5">
        <f>F34</f>
        <v/>
      </c>
      <c r="C35" s="5">
        <f>$C$4</f>
        <v/>
      </c>
      <c r="D35" s="5">
        <f>B35*'1. Inputs'!$B$9/12</f>
        <v/>
      </c>
      <c r="E35" s="5">
        <f>C35-D35</f>
        <v/>
      </c>
      <c r="F35" s="5">
        <f>MAX(0,B35-E35)</f>
        <v/>
      </c>
    </row>
    <row r="36">
      <c r="A36" s="21">
        <f>A35+1</f>
        <v/>
      </c>
      <c r="B36" s="5">
        <f>F35</f>
        <v/>
      </c>
      <c r="C36" s="5">
        <f>$C$4</f>
        <v/>
      </c>
      <c r="D36" s="5">
        <f>B36*'1. Inputs'!$B$9/12</f>
        <v/>
      </c>
      <c r="E36" s="5">
        <f>C36-D36</f>
        <v/>
      </c>
      <c r="F36" s="5">
        <f>MAX(0,B36-E36)</f>
        <v/>
      </c>
    </row>
    <row r="37">
      <c r="A37" s="21">
        <f>A36+1</f>
        <v/>
      </c>
      <c r="B37" s="5">
        <f>F36</f>
        <v/>
      </c>
      <c r="C37" s="5">
        <f>$C$4</f>
        <v/>
      </c>
      <c r="D37" s="5">
        <f>B37*'1. Inputs'!$B$9/12</f>
        <v/>
      </c>
      <c r="E37" s="5">
        <f>C37-D37</f>
        <v/>
      </c>
      <c r="F37" s="5">
        <f>MAX(0,B37-E37)</f>
        <v/>
      </c>
    </row>
    <row r="38">
      <c r="A38" s="21">
        <f>A37+1</f>
        <v/>
      </c>
      <c r="B38" s="5">
        <f>F37</f>
        <v/>
      </c>
      <c r="C38" s="5">
        <f>$C$4</f>
        <v/>
      </c>
      <c r="D38" s="5">
        <f>B38*'1. Inputs'!$B$9/12</f>
        <v/>
      </c>
      <c r="E38" s="5">
        <f>C38-D38</f>
        <v/>
      </c>
      <c r="F38" s="5">
        <f>MAX(0,B38-E38)</f>
        <v/>
      </c>
    </row>
    <row r="39">
      <c r="A39" s="21">
        <f>A38+1</f>
        <v/>
      </c>
      <c r="B39" s="5">
        <f>F38</f>
        <v/>
      </c>
      <c r="C39" s="5">
        <f>$C$4</f>
        <v/>
      </c>
      <c r="D39" s="5">
        <f>B39*'1. Inputs'!$B$9/12</f>
        <v/>
      </c>
      <c r="E39" s="5">
        <f>C39-D39</f>
        <v/>
      </c>
      <c r="F39" s="5">
        <f>MAX(0,B39-E39)</f>
        <v/>
      </c>
    </row>
    <row r="40">
      <c r="A40" s="21">
        <f>A39+1</f>
        <v/>
      </c>
      <c r="B40" s="5">
        <f>F39</f>
        <v/>
      </c>
      <c r="C40" s="5">
        <f>$C$4</f>
        <v/>
      </c>
      <c r="D40" s="5">
        <f>B40*'1. Inputs'!$B$9/12</f>
        <v/>
      </c>
      <c r="E40" s="5">
        <f>C40-D40</f>
        <v/>
      </c>
      <c r="F40" s="5">
        <f>MAX(0,B40-E40)</f>
        <v/>
      </c>
    </row>
    <row r="41">
      <c r="A41" s="21">
        <f>A40+1</f>
        <v/>
      </c>
      <c r="B41" s="5">
        <f>F40</f>
        <v/>
      </c>
      <c r="C41" s="5">
        <f>$C$4</f>
        <v/>
      </c>
      <c r="D41" s="5">
        <f>B41*'1. Inputs'!$B$9/12</f>
        <v/>
      </c>
      <c r="E41" s="5">
        <f>C41-D41</f>
        <v/>
      </c>
      <c r="F41" s="5">
        <f>MAX(0,B41-E41)</f>
        <v/>
      </c>
    </row>
    <row r="42">
      <c r="A42" s="21">
        <f>A41+1</f>
        <v/>
      </c>
      <c r="B42" s="5">
        <f>F41</f>
        <v/>
      </c>
      <c r="C42" s="5">
        <f>$C$4</f>
        <v/>
      </c>
      <c r="D42" s="5">
        <f>B42*'1. Inputs'!$B$9/12</f>
        <v/>
      </c>
      <c r="E42" s="5">
        <f>C42-D42</f>
        <v/>
      </c>
      <c r="F42" s="5">
        <f>MAX(0,B42-E42)</f>
        <v/>
      </c>
    </row>
    <row r="43">
      <c r="A43" s="21">
        <f>A42+1</f>
        <v/>
      </c>
      <c r="B43" s="5">
        <f>F42</f>
        <v/>
      </c>
      <c r="C43" s="5">
        <f>$C$4</f>
        <v/>
      </c>
      <c r="D43" s="5">
        <f>B43*'1. Inputs'!$B$9/12</f>
        <v/>
      </c>
      <c r="E43" s="5">
        <f>C43-D43</f>
        <v/>
      </c>
      <c r="F43" s="5">
        <f>MAX(0,B43-E43)</f>
        <v/>
      </c>
    </row>
    <row r="44">
      <c r="A44" s="21">
        <f>A43+1</f>
        <v/>
      </c>
      <c r="B44" s="5">
        <f>F43</f>
        <v/>
      </c>
      <c r="C44" s="5">
        <f>$C$4</f>
        <v/>
      </c>
      <c r="D44" s="5">
        <f>B44*'1. Inputs'!$B$9/12</f>
        <v/>
      </c>
      <c r="E44" s="5">
        <f>C44-D44</f>
        <v/>
      </c>
      <c r="F44" s="5">
        <f>MAX(0,B44-E44)</f>
        <v/>
      </c>
    </row>
    <row r="45">
      <c r="A45" s="21">
        <f>A44+1</f>
        <v/>
      </c>
      <c r="B45" s="5">
        <f>F44</f>
        <v/>
      </c>
      <c r="C45" s="5">
        <f>$C$4</f>
        <v/>
      </c>
      <c r="D45" s="5">
        <f>B45*'1. Inputs'!$B$9/12</f>
        <v/>
      </c>
      <c r="E45" s="5">
        <f>C45-D45</f>
        <v/>
      </c>
      <c r="F45" s="5">
        <f>MAX(0,B45-E45)</f>
        <v/>
      </c>
    </row>
    <row r="46">
      <c r="A46" s="21">
        <f>A45+1</f>
        <v/>
      </c>
      <c r="B46" s="5">
        <f>F45</f>
        <v/>
      </c>
      <c r="C46" s="5">
        <f>$C$4</f>
        <v/>
      </c>
      <c r="D46" s="5">
        <f>B46*'1. Inputs'!$B$9/12</f>
        <v/>
      </c>
      <c r="E46" s="5">
        <f>C46-D46</f>
        <v/>
      </c>
      <c r="F46" s="5">
        <f>MAX(0,B46-E46)</f>
        <v/>
      </c>
    </row>
    <row r="47">
      <c r="A47" s="21">
        <f>A46+1</f>
        <v/>
      </c>
      <c r="B47" s="5">
        <f>F46</f>
        <v/>
      </c>
      <c r="C47" s="5">
        <f>$C$4</f>
        <v/>
      </c>
      <c r="D47" s="5">
        <f>B47*'1. Inputs'!$B$9/12</f>
        <v/>
      </c>
      <c r="E47" s="5">
        <f>C47-D47</f>
        <v/>
      </c>
      <c r="F47" s="5">
        <f>MAX(0,B47-E47)</f>
        <v/>
      </c>
    </row>
    <row r="48">
      <c r="A48" s="21">
        <f>A47+1</f>
        <v/>
      </c>
      <c r="B48" s="5">
        <f>F47</f>
        <v/>
      </c>
      <c r="C48" s="5">
        <f>$C$4</f>
        <v/>
      </c>
      <c r="D48" s="5">
        <f>B48*'1. Inputs'!$B$9/12</f>
        <v/>
      </c>
      <c r="E48" s="5">
        <f>C48-D48</f>
        <v/>
      </c>
      <c r="F48" s="5">
        <f>MAX(0,B48-E48)</f>
        <v/>
      </c>
    </row>
    <row r="49">
      <c r="A49" s="21">
        <f>A48+1</f>
        <v/>
      </c>
      <c r="B49" s="5">
        <f>F48</f>
        <v/>
      </c>
      <c r="C49" s="5">
        <f>$C$4</f>
        <v/>
      </c>
      <c r="D49" s="5">
        <f>B49*'1. Inputs'!$B$9/12</f>
        <v/>
      </c>
      <c r="E49" s="5">
        <f>C49-D49</f>
        <v/>
      </c>
      <c r="F49" s="5">
        <f>MAX(0,B49-E49)</f>
        <v/>
      </c>
    </row>
    <row r="50">
      <c r="A50" s="21">
        <f>A49+1</f>
        <v/>
      </c>
      <c r="B50" s="5">
        <f>F49</f>
        <v/>
      </c>
      <c r="C50" s="5">
        <f>$C$4</f>
        <v/>
      </c>
      <c r="D50" s="5">
        <f>B50*'1. Inputs'!$B$9/12</f>
        <v/>
      </c>
      <c r="E50" s="5">
        <f>C50-D50</f>
        <v/>
      </c>
      <c r="F50" s="5">
        <f>MAX(0,B50-E50)</f>
        <v/>
      </c>
    </row>
    <row r="51">
      <c r="A51" s="21">
        <f>A50+1</f>
        <v/>
      </c>
      <c r="B51" s="5">
        <f>F50</f>
        <v/>
      </c>
      <c r="C51" s="5">
        <f>$C$4</f>
        <v/>
      </c>
      <c r="D51" s="5">
        <f>B51*'1. Inputs'!$B$9/12</f>
        <v/>
      </c>
      <c r="E51" s="5">
        <f>C51-D51</f>
        <v/>
      </c>
      <c r="F51" s="5">
        <f>MAX(0,B51-E51)</f>
        <v/>
      </c>
    </row>
    <row r="52">
      <c r="A52" s="21">
        <f>A51+1</f>
        <v/>
      </c>
      <c r="B52" s="5">
        <f>F51</f>
        <v/>
      </c>
      <c r="C52" s="5">
        <f>$C$4</f>
        <v/>
      </c>
      <c r="D52" s="5">
        <f>B52*'1. Inputs'!$B$9/12</f>
        <v/>
      </c>
      <c r="E52" s="5">
        <f>C52-D52</f>
        <v/>
      </c>
      <c r="F52" s="5">
        <f>MAX(0,B52-E52)</f>
        <v/>
      </c>
    </row>
    <row r="53">
      <c r="A53" s="21">
        <f>A52+1</f>
        <v/>
      </c>
      <c r="B53" s="5">
        <f>F52</f>
        <v/>
      </c>
      <c r="C53" s="5">
        <f>$C$4</f>
        <v/>
      </c>
      <c r="D53" s="5">
        <f>B53*'1. Inputs'!$B$9/12</f>
        <v/>
      </c>
      <c r="E53" s="5">
        <f>C53-D53</f>
        <v/>
      </c>
      <c r="F53" s="5">
        <f>MAX(0,B53-E53)</f>
        <v/>
      </c>
    </row>
    <row r="54">
      <c r="A54" s="21">
        <f>A53+1</f>
        <v/>
      </c>
      <c r="B54" s="5">
        <f>F53</f>
        <v/>
      </c>
      <c r="C54" s="5">
        <f>$C$4</f>
        <v/>
      </c>
      <c r="D54" s="5">
        <f>B54*'1. Inputs'!$B$9/12</f>
        <v/>
      </c>
      <c r="E54" s="5">
        <f>C54-D54</f>
        <v/>
      </c>
      <c r="F54" s="5">
        <f>MAX(0,B54-E54)</f>
        <v/>
      </c>
    </row>
    <row r="55">
      <c r="A55" s="21">
        <f>A54+1</f>
        <v/>
      </c>
      <c r="B55" s="5">
        <f>F54</f>
        <v/>
      </c>
      <c r="C55" s="5">
        <f>$C$4</f>
        <v/>
      </c>
      <c r="D55" s="5">
        <f>B55*'1. Inputs'!$B$9/12</f>
        <v/>
      </c>
      <c r="E55" s="5">
        <f>C55-D55</f>
        <v/>
      </c>
      <c r="F55" s="5">
        <f>MAX(0,B55-E55)</f>
        <v/>
      </c>
    </row>
    <row r="56">
      <c r="A56" s="21">
        <f>A55+1</f>
        <v/>
      </c>
      <c r="B56" s="5">
        <f>F55</f>
        <v/>
      </c>
      <c r="C56" s="5">
        <f>$C$4</f>
        <v/>
      </c>
      <c r="D56" s="5">
        <f>B56*'1. Inputs'!$B$9/12</f>
        <v/>
      </c>
      <c r="E56" s="5">
        <f>C56-D56</f>
        <v/>
      </c>
      <c r="F56" s="5">
        <f>MAX(0,B56-E56)</f>
        <v/>
      </c>
    </row>
    <row r="57">
      <c r="A57" s="21">
        <f>A56+1</f>
        <v/>
      </c>
      <c r="B57" s="5">
        <f>F56</f>
        <v/>
      </c>
      <c r="C57" s="5">
        <f>$C$4</f>
        <v/>
      </c>
      <c r="D57" s="5">
        <f>B57*'1. Inputs'!$B$9/12</f>
        <v/>
      </c>
      <c r="E57" s="5">
        <f>C57-D57</f>
        <v/>
      </c>
      <c r="F57" s="5">
        <f>MAX(0,B57-E57)</f>
        <v/>
      </c>
    </row>
    <row r="58">
      <c r="A58" s="21">
        <f>A57+1</f>
        <v/>
      </c>
      <c r="B58" s="5">
        <f>F57</f>
        <v/>
      </c>
      <c r="C58" s="5">
        <f>$C$4</f>
        <v/>
      </c>
      <c r="D58" s="5">
        <f>B58*'1. Inputs'!$B$9/12</f>
        <v/>
      </c>
      <c r="E58" s="5">
        <f>C58-D58</f>
        <v/>
      </c>
      <c r="F58" s="5">
        <f>MAX(0,B58-E58)</f>
        <v/>
      </c>
    </row>
    <row r="59">
      <c r="A59" s="21">
        <f>A58+1</f>
        <v/>
      </c>
      <c r="B59" s="5">
        <f>F58</f>
        <v/>
      </c>
      <c r="C59" s="5">
        <f>$C$4</f>
        <v/>
      </c>
      <c r="D59" s="5">
        <f>B59*'1. Inputs'!$B$9/12</f>
        <v/>
      </c>
      <c r="E59" s="5">
        <f>C59-D59</f>
        <v/>
      </c>
      <c r="F59" s="5">
        <f>MAX(0,B59-E59)</f>
        <v/>
      </c>
    </row>
    <row r="60">
      <c r="A60" s="21">
        <f>A59+1</f>
        <v/>
      </c>
      <c r="B60" s="5">
        <f>F59</f>
        <v/>
      </c>
      <c r="C60" s="5">
        <f>$C$4</f>
        <v/>
      </c>
      <c r="D60" s="5">
        <f>B60*'1. Inputs'!$B$9/12</f>
        <v/>
      </c>
      <c r="E60" s="5">
        <f>C60-D60</f>
        <v/>
      </c>
      <c r="F60" s="5">
        <f>MAX(0,B60-E60)</f>
        <v/>
      </c>
    </row>
    <row r="61">
      <c r="A61" s="21">
        <f>A60+1</f>
        <v/>
      </c>
      <c r="B61" s="5">
        <f>F60</f>
        <v/>
      </c>
      <c r="C61" s="5">
        <f>$C$4</f>
        <v/>
      </c>
      <c r="D61" s="5">
        <f>B61*'1. Inputs'!$B$9/12</f>
        <v/>
      </c>
      <c r="E61" s="5">
        <f>C61-D61</f>
        <v/>
      </c>
      <c r="F61" s="5">
        <f>MAX(0,B61-E61)</f>
        <v/>
      </c>
    </row>
    <row r="62">
      <c r="A62" s="21">
        <f>A61+1</f>
        <v/>
      </c>
      <c r="B62" s="5">
        <f>F61</f>
        <v/>
      </c>
      <c r="C62" s="5">
        <f>$C$4</f>
        <v/>
      </c>
      <c r="D62" s="5">
        <f>B62*'1. Inputs'!$B$9/12</f>
        <v/>
      </c>
      <c r="E62" s="5">
        <f>C62-D62</f>
        <v/>
      </c>
      <c r="F62" s="5">
        <f>MAX(0,B62-E62)</f>
        <v/>
      </c>
    </row>
    <row r="63">
      <c r="A63" s="21">
        <f>A62+1</f>
        <v/>
      </c>
      <c r="B63" s="5">
        <f>F62</f>
        <v/>
      </c>
      <c r="C63" s="5">
        <f>$C$4</f>
        <v/>
      </c>
      <c r="D63" s="5">
        <f>B63*'1. Inputs'!$B$9/12</f>
        <v/>
      </c>
      <c r="E63" s="5">
        <f>C63-D63</f>
        <v/>
      </c>
      <c r="F63" s="5">
        <f>MAX(0,B63-E63)</f>
        <v/>
      </c>
    </row>
    <row r="64">
      <c r="A64" s="21">
        <f>A63+1</f>
        <v/>
      </c>
      <c r="B64" s="5">
        <f>F63</f>
        <v/>
      </c>
      <c r="C64" s="5">
        <f>$C$4</f>
        <v/>
      </c>
      <c r="D64" s="5">
        <f>B64*'1. Inputs'!$B$9/12</f>
        <v/>
      </c>
      <c r="E64" s="5">
        <f>C64-D64</f>
        <v/>
      </c>
      <c r="F64" s="5">
        <f>MAX(0,B64-E64)</f>
        <v/>
      </c>
    </row>
    <row r="65">
      <c r="A65" s="21">
        <f>A64+1</f>
        <v/>
      </c>
      <c r="B65" s="5">
        <f>F64</f>
        <v/>
      </c>
      <c r="C65" s="5">
        <f>$C$4</f>
        <v/>
      </c>
      <c r="D65" s="5">
        <f>B65*'1. Inputs'!$B$9/12</f>
        <v/>
      </c>
      <c r="E65" s="5">
        <f>C65-D65</f>
        <v/>
      </c>
      <c r="F65" s="5">
        <f>MAX(0,B65-E65)</f>
        <v/>
      </c>
    </row>
    <row r="66">
      <c r="A66" s="21">
        <f>A65+1</f>
        <v/>
      </c>
      <c r="B66" s="5">
        <f>F65</f>
        <v/>
      </c>
      <c r="C66" s="5">
        <f>$C$4</f>
        <v/>
      </c>
      <c r="D66" s="5">
        <f>B66*'1. Inputs'!$B$9/12</f>
        <v/>
      </c>
      <c r="E66" s="5">
        <f>C66-D66</f>
        <v/>
      </c>
      <c r="F66" s="5">
        <f>MAX(0,B66-E66)</f>
        <v/>
      </c>
    </row>
    <row r="67">
      <c r="A67" s="21">
        <f>A66+1</f>
        <v/>
      </c>
      <c r="B67" s="5">
        <f>F66</f>
        <v/>
      </c>
      <c r="C67" s="5">
        <f>$C$4</f>
        <v/>
      </c>
      <c r="D67" s="5">
        <f>B67*'1. Inputs'!$B$9/12</f>
        <v/>
      </c>
      <c r="E67" s="5">
        <f>C67-D67</f>
        <v/>
      </c>
      <c r="F67" s="5">
        <f>MAX(0,B67-E67)</f>
        <v/>
      </c>
    </row>
    <row r="68">
      <c r="A68" s="21">
        <f>A67+1</f>
        <v/>
      </c>
      <c r="B68" s="5">
        <f>F67</f>
        <v/>
      </c>
      <c r="C68" s="5">
        <f>$C$4</f>
        <v/>
      </c>
      <c r="D68" s="5">
        <f>B68*'1. Inputs'!$B$9/12</f>
        <v/>
      </c>
      <c r="E68" s="5">
        <f>C68-D68</f>
        <v/>
      </c>
      <c r="F68" s="5">
        <f>MAX(0,B68-E68)</f>
        <v/>
      </c>
    </row>
    <row r="69">
      <c r="A69" s="21">
        <f>A68+1</f>
        <v/>
      </c>
      <c r="B69" s="5">
        <f>F68</f>
        <v/>
      </c>
      <c r="C69" s="5">
        <f>$C$4</f>
        <v/>
      </c>
      <c r="D69" s="5">
        <f>B69*'1. Inputs'!$B$9/12</f>
        <v/>
      </c>
      <c r="E69" s="5">
        <f>C69-D69</f>
        <v/>
      </c>
      <c r="F69" s="5">
        <f>MAX(0,B69-E69)</f>
        <v/>
      </c>
    </row>
    <row r="70">
      <c r="A70" s="21">
        <f>A69+1</f>
        <v/>
      </c>
      <c r="B70" s="5">
        <f>F69</f>
        <v/>
      </c>
      <c r="C70" s="5">
        <f>$C$4</f>
        <v/>
      </c>
      <c r="D70" s="5">
        <f>B70*'1. Inputs'!$B$9/12</f>
        <v/>
      </c>
      <c r="E70" s="5">
        <f>C70-D70</f>
        <v/>
      </c>
      <c r="F70" s="5">
        <f>MAX(0,B70-E70)</f>
        <v/>
      </c>
    </row>
    <row r="71">
      <c r="A71" s="21">
        <f>A70+1</f>
        <v/>
      </c>
      <c r="B71" s="5">
        <f>F70</f>
        <v/>
      </c>
      <c r="C71" s="5">
        <f>$C$4</f>
        <v/>
      </c>
      <c r="D71" s="5">
        <f>B71*'1. Inputs'!$B$9/12</f>
        <v/>
      </c>
      <c r="E71" s="5">
        <f>C71-D71</f>
        <v/>
      </c>
      <c r="F71" s="5">
        <f>MAX(0,B71-E71)</f>
        <v/>
      </c>
    </row>
    <row r="72">
      <c r="A72" s="21">
        <f>A71+1</f>
        <v/>
      </c>
      <c r="B72" s="5">
        <f>F71</f>
        <v/>
      </c>
      <c r="C72" s="5">
        <f>$C$4</f>
        <v/>
      </c>
      <c r="D72" s="5">
        <f>B72*'1. Inputs'!$B$9/12</f>
        <v/>
      </c>
      <c r="E72" s="5">
        <f>C72-D72</f>
        <v/>
      </c>
      <c r="F72" s="5">
        <f>MAX(0,B72-E72)</f>
        <v/>
      </c>
    </row>
    <row r="73">
      <c r="A73" s="21">
        <f>A72+1</f>
        <v/>
      </c>
      <c r="B73" s="5">
        <f>F72</f>
        <v/>
      </c>
      <c r="C73" s="5">
        <f>$C$4</f>
        <v/>
      </c>
      <c r="D73" s="5">
        <f>B73*'1. Inputs'!$B$9/12</f>
        <v/>
      </c>
      <c r="E73" s="5">
        <f>C73-D73</f>
        <v/>
      </c>
      <c r="F73" s="5">
        <f>MAX(0,B73-E73)</f>
        <v/>
      </c>
    </row>
    <row r="74">
      <c r="A74" s="21">
        <f>A73+1</f>
        <v/>
      </c>
      <c r="B74" s="5">
        <f>F73</f>
        <v/>
      </c>
      <c r="C74" s="5">
        <f>$C$4</f>
        <v/>
      </c>
      <c r="D74" s="5">
        <f>B74*'1. Inputs'!$B$9/12</f>
        <v/>
      </c>
      <c r="E74" s="5">
        <f>C74-D74</f>
        <v/>
      </c>
      <c r="F74" s="5">
        <f>MAX(0,B74-E74)</f>
        <v/>
      </c>
    </row>
    <row r="75">
      <c r="A75" s="21">
        <f>A74+1</f>
        <v/>
      </c>
      <c r="B75" s="5">
        <f>F74</f>
        <v/>
      </c>
      <c r="C75" s="5">
        <f>$C$4</f>
        <v/>
      </c>
      <c r="D75" s="5">
        <f>B75*'1. Inputs'!$B$9/12</f>
        <v/>
      </c>
      <c r="E75" s="5">
        <f>C75-D75</f>
        <v/>
      </c>
      <c r="F75" s="5">
        <f>MAX(0,B75-E75)</f>
        <v/>
      </c>
    </row>
    <row r="76">
      <c r="A76" s="21">
        <f>A75+1</f>
        <v/>
      </c>
      <c r="B76" s="5">
        <f>F75</f>
        <v/>
      </c>
      <c r="C76" s="5">
        <f>$C$4</f>
        <v/>
      </c>
      <c r="D76" s="5">
        <f>B76*'1. Inputs'!$B$9/12</f>
        <v/>
      </c>
      <c r="E76" s="5">
        <f>C76-D76</f>
        <v/>
      </c>
      <c r="F76" s="5">
        <f>MAX(0,B76-E76)</f>
        <v/>
      </c>
    </row>
    <row r="77">
      <c r="A77" s="21">
        <f>A76+1</f>
        <v/>
      </c>
      <c r="B77" s="5">
        <f>F76</f>
        <v/>
      </c>
      <c r="C77" s="5">
        <f>$C$4</f>
        <v/>
      </c>
      <c r="D77" s="5">
        <f>B77*'1. Inputs'!$B$9/12</f>
        <v/>
      </c>
      <c r="E77" s="5">
        <f>C77-D77</f>
        <v/>
      </c>
      <c r="F77" s="5">
        <f>MAX(0,B77-E77)</f>
        <v/>
      </c>
    </row>
    <row r="78">
      <c r="A78" s="21">
        <f>A77+1</f>
        <v/>
      </c>
      <c r="B78" s="5">
        <f>F77</f>
        <v/>
      </c>
      <c r="C78" s="5">
        <f>$C$4</f>
        <v/>
      </c>
      <c r="D78" s="5">
        <f>B78*'1. Inputs'!$B$9/12</f>
        <v/>
      </c>
      <c r="E78" s="5">
        <f>C78-D78</f>
        <v/>
      </c>
      <c r="F78" s="5">
        <f>MAX(0,B78-E78)</f>
        <v/>
      </c>
    </row>
    <row r="79">
      <c r="A79" s="21">
        <f>A78+1</f>
        <v/>
      </c>
      <c r="B79" s="5">
        <f>F78</f>
        <v/>
      </c>
      <c r="C79" s="5">
        <f>$C$4</f>
        <v/>
      </c>
      <c r="D79" s="5">
        <f>B79*'1. Inputs'!$B$9/12</f>
        <v/>
      </c>
      <c r="E79" s="5">
        <f>C79-D79</f>
        <v/>
      </c>
      <c r="F79" s="5">
        <f>MAX(0,B79-E79)</f>
        <v/>
      </c>
    </row>
    <row r="80">
      <c r="A80" s="21">
        <f>A79+1</f>
        <v/>
      </c>
      <c r="B80" s="5">
        <f>F79</f>
        <v/>
      </c>
      <c r="C80" s="5">
        <f>$C$4</f>
        <v/>
      </c>
      <c r="D80" s="5">
        <f>B80*'1. Inputs'!$B$9/12</f>
        <v/>
      </c>
      <c r="E80" s="5">
        <f>C80-D80</f>
        <v/>
      </c>
      <c r="F80" s="5">
        <f>MAX(0,B80-E80)</f>
        <v/>
      </c>
    </row>
    <row r="81">
      <c r="A81" s="21">
        <f>A80+1</f>
        <v/>
      </c>
      <c r="B81" s="5">
        <f>F80</f>
        <v/>
      </c>
      <c r="C81" s="5">
        <f>$C$4</f>
        <v/>
      </c>
      <c r="D81" s="5">
        <f>B81*'1. Inputs'!$B$9/12</f>
        <v/>
      </c>
      <c r="E81" s="5">
        <f>C81-D81</f>
        <v/>
      </c>
      <c r="F81" s="5">
        <f>MAX(0,B81-E81)</f>
        <v/>
      </c>
    </row>
    <row r="82">
      <c r="A82" s="21">
        <f>A81+1</f>
        <v/>
      </c>
      <c r="B82" s="5">
        <f>F81</f>
        <v/>
      </c>
      <c r="C82" s="5">
        <f>$C$4</f>
        <v/>
      </c>
      <c r="D82" s="5">
        <f>B82*'1. Inputs'!$B$9/12</f>
        <v/>
      </c>
      <c r="E82" s="5">
        <f>C82-D82</f>
        <v/>
      </c>
      <c r="F82" s="5">
        <f>MAX(0,B82-E82)</f>
        <v/>
      </c>
    </row>
    <row r="83">
      <c r="A83" s="21">
        <f>A82+1</f>
        <v/>
      </c>
      <c r="B83" s="5">
        <f>F82</f>
        <v/>
      </c>
      <c r="C83" s="5">
        <f>$C$4</f>
        <v/>
      </c>
      <c r="D83" s="5">
        <f>B83*'1. Inputs'!$B$9/12</f>
        <v/>
      </c>
      <c r="E83" s="5">
        <f>C83-D83</f>
        <v/>
      </c>
      <c r="F83" s="5">
        <f>MAX(0,B83-E83)</f>
        <v/>
      </c>
    </row>
    <row r="84">
      <c r="A84" s="21">
        <f>A83+1</f>
        <v/>
      </c>
      <c r="B84" s="5">
        <f>F83</f>
        <v/>
      </c>
      <c r="C84" s="5">
        <f>$C$4</f>
        <v/>
      </c>
      <c r="D84" s="5">
        <f>B84*'1. Inputs'!$B$9/12</f>
        <v/>
      </c>
      <c r="E84" s="5">
        <f>C84-D84</f>
        <v/>
      </c>
      <c r="F84" s="5">
        <f>MAX(0,B84-E84)</f>
        <v/>
      </c>
    </row>
    <row r="85">
      <c r="A85" s="21">
        <f>A84+1</f>
        <v/>
      </c>
      <c r="B85" s="5">
        <f>F84</f>
        <v/>
      </c>
      <c r="C85" s="5">
        <f>$C$4</f>
        <v/>
      </c>
      <c r="D85" s="5">
        <f>B85*'1. Inputs'!$B$9/12</f>
        <v/>
      </c>
      <c r="E85" s="5">
        <f>C85-D85</f>
        <v/>
      </c>
      <c r="F85" s="5">
        <f>MAX(0,B85-E85)</f>
        <v/>
      </c>
    </row>
    <row r="86">
      <c r="A86" s="21">
        <f>A85+1</f>
        <v/>
      </c>
      <c r="B86" s="5">
        <f>F85</f>
        <v/>
      </c>
      <c r="C86" s="5">
        <f>$C$4</f>
        <v/>
      </c>
      <c r="D86" s="5">
        <f>B86*'1. Inputs'!$B$9/12</f>
        <v/>
      </c>
      <c r="E86" s="5">
        <f>C86-D86</f>
        <v/>
      </c>
      <c r="F86" s="5">
        <f>MAX(0,B86-E86)</f>
        <v/>
      </c>
    </row>
    <row r="87">
      <c r="A87" s="21">
        <f>A86+1</f>
        <v/>
      </c>
      <c r="B87" s="5">
        <f>F86</f>
        <v/>
      </c>
      <c r="C87" s="5">
        <f>$C$4</f>
        <v/>
      </c>
      <c r="D87" s="5">
        <f>B87*'1. Inputs'!$B$9/12</f>
        <v/>
      </c>
      <c r="E87" s="5">
        <f>C87-D87</f>
        <v/>
      </c>
      <c r="F87" s="5">
        <f>MAX(0,B87-E87)</f>
        <v/>
      </c>
    </row>
    <row r="88">
      <c r="A88" s="21">
        <f>A87+1</f>
        <v/>
      </c>
      <c r="B88" s="5">
        <f>F87</f>
        <v/>
      </c>
      <c r="C88" s="5">
        <f>$C$4</f>
        <v/>
      </c>
      <c r="D88" s="5">
        <f>B88*'1. Inputs'!$B$9/12</f>
        <v/>
      </c>
      <c r="E88" s="5">
        <f>C88-D88</f>
        <v/>
      </c>
      <c r="F88" s="5">
        <f>MAX(0,B88-E88)</f>
        <v/>
      </c>
    </row>
    <row r="89">
      <c r="A89" s="21">
        <f>A88+1</f>
        <v/>
      </c>
      <c r="B89" s="5">
        <f>F88</f>
        <v/>
      </c>
      <c r="C89" s="5">
        <f>$C$4</f>
        <v/>
      </c>
      <c r="D89" s="5">
        <f>B89*'1. Inputs'!$B$9/12</f>
        <v/>
      </c>
      <c r="E89" s="5">
        <f>C89-D89</f>
        <v/>
      </c>
      <c r="F89" s="5">
        <f>MAX(0,B89-E89)</f>
        <v/>
      </c>
    </row>
    <row r="90">
      <c r="A90" s="21">
        <f>A89+1</f>
        <v/>
      </c>
      <c r="B90" s="5">
        <f>F89</f>
        <v/>
      </c>
      <c r="C90" s="5">
        <f>$C$4</f>
        <v/>
      </c>
      <c r="D90" s="5">
        <f>B90*'1. Inputs'!$B$9/12</f>
        <v/>
      </c>
      <c r="E90" s="5">
        <f>C90-D90</f>
        <v/>
      </c>
      <c r="F90" s="5">
        <f>MAX(0,B90-E90)</f>
        <v/>
      </c>
    </row>
    <row r="91">
      <c r="A91" s="21">
        <f>A90+1</f>
        <v/>
      </c>
      <c r="B91" s="5">
        <f>F90</f>
        <v/>
      </c>
      <c r="C91" s="5">
        <f>$C$4</f>
        <v/>
      </c>
      <c r="D91" s="5">
        <f>B91*'1. Inputs'!$B$9/12</f>
        <v/>
      </c>
      <c r="E91" s="5">
        <f>C91-D91</f>
        <v/>
      </c>
      <c r="F91" s="5">
        <f>MAX(0,B91-E91)</f>
        <v/>
      </c>
    </row>
    <row r="92">
      <c r="A92" s="21">
        <f>A91+1</f>
        <v/>
      </c>
      <c r="B92" s="5">
        <f>F91</f>
        <v/>
      </c>
      <c r="C92" s="5">
        <f>$C$4</f>
        <v/>
      </c>
      <c r="D92" s="5">
        <f>B92*'1. Inputs'!$B$9/12</f>
        <v/>
      </c>
      <c r="E92" s="5">
        <f>C92-D92</f>
        <v/>
      </c>
      <c r="F92" s="5">
        <f>MAX(0,B92-E92)</f>
        <v/>
      </c>
    </row>
    <row r="93">
      <c r="A93" s="21">
        <f>A92+1</f>
        <v/>
      </c>
      <c r="B93" s="5">
        <f>F92</f>
        <v/>
      </c>
      <c r="C93" s="5">
        <f>$C$4</f>
        <v/>
      </c>
      <c r="D93" s="5">
        <f>B93*'1. Inputs'!$B$9/12</f>
        <v/>
      </c>
      <c r="E93" s="5">
        <f>C93-D93</f>
        <v/>
      </c>
      <c r="F93" s="5">
        <f>MAX(0,B93-E93)</f>
        <v/>
      </c>
    </row>
    <row r="94">
      <c r="A94" s="21">
        <f>A93+1</f>
        <v/>
      </c>
      <c r="B94" s="5">
        <f>F93</f>
        <v/>
      </c>
      <c r="C94" s="5">
        <f>$C$4</f>
        <v/>
      </c>
      <c r="D94" s="5">
        <f>B94*'1. Inputs'!$B$9/12</f>
        <v/>
      </c>
      <c r="E94" s="5">
        <f>C94-D94</f>
        <v/>
      </c>
      <c r="F94" s="5">
        <f>MAX(0,B94-E94)</f>
        <v/>
      </c>
    </row>
    <row r="95">
      <c r="A95" s="21">
        <f>A94+1</f>
        <v/>
      </c>
      <c r="B95" s="5">
        <f>F94</f>
        <v/>
      </c>
      <c r="C95" s="5">
        <f>$C$4</f>
        <v/>
      </c>
      <c r="D95" s="5">
        <f>B95*'1. Inputs'!$B$9/12</f>
        <v/>
      </c>
      <c r="E95" s="5">
        <f>C95-D95</f>
        <v/>
      </c>
      <c r="F95" s="5">
        <f>MAX(0,B95-E95)</f>
        <v/>
      </c>
    </row>
    <row r="96">
      <c r="A96" s="21">
        <f>A95+1</f>
        <v/>
      </c>
      <c r="B96" s="5">
        <f>F95</f>
        <v/>
      </c>
      <c r="C96" s="5">
        <f>$C$4</f>
        <v/>
      </c>
      <c r="D96" s="5">
        <f>B96*'1. Inputs'!$B$9/12</f>
        <v/>
      </c>
      <c r="E96" s="5">
        <f>C96-D96</f>
        <v/>
      </c>
      <c r="F96" s="5">
        <f>MAX(0,B96-E96)</f>
        <v/>
      </c>
    </row>
    <row r="97">
      <c r="A97" s="21">
        <f>A96+1</f>
        <v/>
      </c>
      <c r="B97" s="5">
        <f>F96</f>
        <v/>
      </c>
      <c r="C97" s="5">
        <f>$C$4</f>
        <v/>
      </c>
      <c r="D97" s="5">
        <f>B97*'1. Inputs'!$B$9/12</f>
        <v/>
      </c>
      <c r="E97" s="5">
        <f>C97-D97</f>
        <v/>
      </c>
      <c r="F97" s="5">
        <f>MAX(0,B97-E97)</f>
        <v/>
      </c>
    </row>
    <row r="98">
      <c r="A98" s="21">
        <f>A97+1</f>
        <v/>
      </c>
      <c r="B98" s="5">
        <f>F97</f>
        <v/>
      </c>
      <c r="C98" s="5">
        <f>$C$4</f>
        <v/>
      </c>
      <c r="D98" s="5">
        <f>B98*'1. Inputs'!$B$9/12</f>
        <v/>
      </c>
      <c r="E98" s="5">
        <f>C98-D98</f>
        <v/>
      </c>
      <c r="F98" s="5">
        <f>MAX(0,B98-E98)</f>
        <v/>
      </c>
    </row>
    <row r="99">
      <c r="A99" s="21">
        <f>A98+1</f>
        <v/>
      </c>
      <c r="B99" s="5">
        <f>F98</f>
        <v/>
      </c>
      <c r="C99" s="5">
        <f>$C$4</f>
        <v/>
      </c>
      <c r="D99" s="5">
        <f>B99*'1. Inputs'!$B$9/12</f>
        <v/>
      </c>
      <c r="E99" s="5">
        <f>C99-D99</f>
        <v/>
      </c>
      <c r="F99" s="5">
        <f>MAX(0,B99-E99)</f>
        <v/>
      </c>
    </row>
    <row r="100">
      <c r="A100" s="21">
        <f>A99+1</f>
        <v/>
      </c>
      <c r="B100" s="5">
        <f>F99</f>
        <v/>
      </c>
      <c r="C100" s="5">
        <f>$C$4</f>
        <v/>
      </c>
      <c r="D100" s="5">
        <f>B100*'1. Inputs'!$B$9/12</f>
        <v/>
      </c>
      <c r="E100" s="5">
        <f>C100-D100</f>
        <v/>
      </c>
      <c r="F100" s="5">
        <f>MAX(0,B100-E100)</f>
        <v/>
      </c>
    </row>
    <row r="101">
      <c r="A101" s="21">
        <f>A100+1</f>
        <v/>
      </c>
      <c r="B101" s="5">
        <f>F100</f>
        <v/>
      </c>
      <c r="C101" s="5">
        <f>$C$4</f>
        <v/>
      </c>
      <c r="D101" s="5">
        <f>B101*'1. Inputs'!$B$9/12</f>
        <v/>
      </c>
      <c r="E101" s="5">
        <f>C101-D101</f>
        <v/>
      </c>
      <c r="F101" s="5">
        <f>MAX(0,B101-E101)</f>
        <v/>
      </c>
    </row>
    <row r="102">
      <c r="A102" s="21">
        <f>A101+1</f>
        <v/>
      </c>
      <c r="B102" s="5">
        <f>F101</f>
        <v/>
      </c>
      <c r="C102" s="5">
        <f>$C$4</f>
        <v/>
      </c>
      <c r="D102" s="5">
        <f>B102*'1. Inputs'!$B$9/12</f>
        <v/>
      </c>
      <c r="E102" s="5">
        <f>C102-D102</f>
        <v/>
      </c>
      <c r="F102" s="5">
        <f>MAX(0,B102-E102)</f>
        <v/>
      </c>
    </row>
    <row r="103">
      <c r="A103" s="21">
        <f>A102+1</f>
        <v/>
      </c>
      <c r="B103" s="5">
        <f>F102</f>
        <v/>
      </c>
      <c r="C103" s="5">
        <f>$C$4</f>
        <v/>
      </c>
      <c r="D103" s="5">
        <f>B103*'1. Inputs'!$B$9/12</f>
        <v/>
      </c>
      <c r="E103" s="5">
        <f>C103-D103</f>
        <v/>
      </c>
      <c r="F103" s="5">
        <f>MAX(0,B103-E103)</f>
        <v/>
      </c>
    </row>
    <row r="104">
      <c r="A104" s="21">
        <f>A103+1</f>
        <v/>
      </c>
      <c r="B104" s="5">
        <f>F103</f>
        <v/>
      </c>
      <c r="C104" s="5">
        <f>$C$4</f>
        <v/>
      </c>
      <c r="D104" s="5">
        <f>B104*'1. Inputs'!$B$9/12</f>
        <v/>
      </c>
      <c r="E104" s="5">
        <f>C104-D104</f>
        <v/>
      </c>
      <c r="F104" s="5">
        <f>MAX(0,B104-E104)</f>
        <v/>
      </c>
    </row>
    <row r="105">
      <c r="A105" s="21">
        <f>A104+1</f>
        <v/>
      </c>
      <c r="B105" s="5">
        <f>F104</f>
        <v/>
      </c>
      <c r="C105" s="5">
        <f>$C$4</f>
        <v/>
      </c>
      <c r="D105" s="5">
        <f>B105*'1. Inputs'!$B$9/12</f>
        <v/>
      </c>
      <c r="E105" s="5">
        <f>C105-D105</f>
        <v/>
      </c>
      <c r="F105" s="5">
        <f>MAX(0,B105-E105)</f>
        <v/>
      </c>
    </row>
    <row r="106">
      <c r="A106" s="21">
        <f>A105+1</f>
        <v/>
      </c>
      <c r="B106" s="5">
        <f>F105</f>
        <v/>
      </c>
      <c r="C106" s="5">
        <f>$C$4</f>
        <v/>
      </c>
      <c r="D106" s="5">
        <f>B106*'1. Inputs'!$B$9/12</f>
        <v/>
      </c>
      <c r="E106" s="5">
        <f>C106-D106</f>
        <v/>
      </c>
      <c r="F106" s="5">
        <f>MAX(0,B106-E106)</f>
        <v/>
      </c>
    </row>
    <row r="107">
      <c r="A107" s="21">
        <f>A106+1</f>
        <v/>
      </c>
      <c r="B107" s="5">
        <f>F106</f>
        <v/>
      </c>
      <c r="C107" s="5">
        <f>$C$4</f>
        <v/>
      </c>
      <c r="D107" s="5">
        <f>B107*'1. Inputs'!$B$9/12</f>
        <v/>
      </c>
      <c r="E107" s="5">
        <f>C107-D107</f>
        <v/>
      </c>
      <c r="F107" s="5">
        <f>MAX(0,B107-E107)</f>
        <v/>
      </c>
    </row>
    <row r="108">
      <c r="A108" s="21">
        <f>A107+1</f>
        <v/>
      </c>
      <c r="B108" s="5">
        <f>F107</f>
        <v/>
      </c>
      <c r="C108" s="5">
        <f>$C$4</f>
        <v/>
      </c>
      <c r="D108" s="5">
        <f>B108*'1. Inputs'!$B$9/12</f>
        <v/>
      </c>
      <c r="E108" s="5">
        <f>C108-D108</f>
        <v/>
      </c>
      <c r="F108" s="5">
        <f>MAX(0,B108-E108)</f>
        <v/>
      </c>
    </row>
    <row r="109">
      <c r="A109" s="21">
        <f>A108+1</f>
        <v/>
      </c>
      <c r="B109" s="5">
        <f>F108</f>
        <v/>
      </c>
      <c r="C109" s="5">
        <f>$C$4</f>
        <v/>
      </c>
      <c r="D109" s="5">
        <f>B109*'1. Inputs'!$B$9/12</f>
        <v/>
      </c>
      <c r="E109" s="5">
        <f>C109-D109</f>
        <v/>
      </c>
      <c r="F109" s="5">
        <f>MAX(0,B109-E109)</f>
        <v/>
      </c>
    </row>
    <row r="110">
      <c r="A110" s="21">
        <f>A109+1</f>
        <v/>
      </c>
      <c r="B110" s="5">
        <f>F109</f>
        <v/>
      </c>
      <c r="C110" s="5">
        <f>$C$4</f>
        <v/>
      </c>
      <c r="D110" s="5">
        <f>B110*'1. Inputs'!$B$9/12</f>
        <v/>
      </c>
      <c r="E110" s="5">
        <f>C110-D110</f>
        <v/>
      </c>
      <c r="F110" s="5">
        <f>MAX(0,B110-E110)</f>
        <v/>
      </c>
    </row>
    <row r="111">
      <c r="A111" s="21">
        <f>A110+1</f>
        <v/>
      </c>
      <c r="B111" s="5">
        <f>F110</f>
        <v/>
      </c>
      <c r="C111" s="5">
        <f>$C$4</f>
        <v/>
      </c>
      <c r="D111" s="5">
        <f>B111*'1. Inputs'!$B$9/12</f>
        <v/>
      </c>
      <c r="E111" s="5">
        <f>C111-D111</f>
        <v/>
      </c>
      <c r="F111" s="5">
        <f>MAX(0,B111-E111)</f>
        <v/>
      </c>
    </row>
    <row r="112">
      <c r="A112" s="21">
        <f>A111+1</f>
        <v/>
      </c>
      <c r="B112" s="5">
        <f>F111</f>
        <v/>
      </c>
      <c r="C112" s="5">
        <f>$C$4</f>
        <v/>
      </c>
      <c r="D112" s="5">
        <f>B112*'1. Inputs'!$B$9/12</f>
        <v/>
      </c>
      <c r="E112" s="5">
        <f>C112-D112</f>
        <v/>
      </c>
      <c r="F112" s="5">
        <f>MAX(0,B112-E112)</f>
        <v/>
      </c>
    </row>
    <row r="113">
      <c r="A113" s="21">
        <f>A112+1</f>
        <v/>
      </c>
      <c r="B113" s="5">
        <f>F112</f>
        <v/>
      </c>
      <c r="C113" s="5">
        <f>$C$4</f>
        <v/>
      </c>
      <c r="D113" s="5">
        <f>B113*'1. Inputs'!$B$9/12</f>
        <v/>
      </c>
      <c r="E113" s="5">
        <f>C113-D113</f>
        <v/>
      </c>
      <c r="F113" s="5">
        <f>MAX(0,B113-E113)</f>
        <v/>
      </c>
    </row>
    <row r="114">
      <c r="A114" s="21">
        <f>A113+1</f>
        <v/>
      </c>
      <c r="B114" s="5">
        <f>F113</f>
        <v/>
      </c>
      <c r="C114" s="5">
        <f>$C$4</f>
        <v/>
      </c>
      <c r="D114" s="5">
        <f>B114*'1. Inputs'!$B$9/12</f>
        <v/>
      </c>
      <c r="E114" s="5">
        <f>C114-D114</f>
        <v/>
      </c>
      <c r="F114" s="5">
        <f>MAX(0,B114-E114)</f>
        <v/>
      </c>
    </row>
    <row r="115">
      <c r="A115" s="21">
        <f>A114+1</f>
        <v/>
      </c>
      <c r="B115" s="5">
        <f>F114</f>
        <v/>
      </c>
      <c r="C115" s="5">
        <f>$C$4</f>
        <v/>
      </c>
      <c r="D115" s="5">
        <f>B115*'1. Inputs'!$B$9/12</f>
        <v/>
      </c>
      <c r="E115" s="5">
        <f>C115-D115</f>
        <v/>
      </c>
      <c r="F115" s="5">
        <f>MAX(0,B115-E115)</f>
        <v/>
      </c>
    </row>
    <row r="116">
      <c r="A116" s="21">
        <f>A115+1</f>
        <v/>
      </c>
      <c r="B116" s="5">
        <f>F115</f>
        <v/>
      </c>
      <c r="C116" s="5">
        <f>$C$4</f>
        <v/>
      </c>
      <c r="D116" s="5">
        <f>B116*'1. Inputs'!$B$9/12</f>
        <v/>
      </c>
      <c r="E116" s="5">
        <f>C116-D116</f>
        <v/>
      </c>
      <c r="F116" s="5">
        <f>MAX(0,B116-E116)</f>
        <v/>
      </c>
    </row>
    <row r="117">
      <c r="A117" s="21">
        <f>A116+1</f>
        <v/>
      </c>
      <c r="B117" s="5">
        <f>F116</f>
        <v/>
      </c>
      <c r="C117" s="5">
        <f>$C$4</f>
        <v/>
      </c>
      <c r="D117" s="5">
        <f>B117*'1. Inputs'!$B$9/12</f>
        <v/>
      </c>
      <c r="E117" s="5">
        <f>C117-D117</f>
        <v/>
      </c>
      <c r="F117" s="5">
        <f>MAX(0,B117-E117)</f>
        <v/>
      </c>
    </row>
    <row r="118">
      <c r="A118" s="21">
        <f>A117+1</f>
        <v/>
      </c>
      <c r="B118" s="5">
        <f>F117</f>
        <v/>
      </c>
      <c r="C118" s="5">
        <f>$C$4</f>
        <v/>
      </c>
      <c r="D118" s="5">
        <f>B118*'1. Inputs'!$B$9/12</f>
        <v/>
      </c>
      <c r="E118" s="5">
        <f>C118-D118</f>
        <v/>
      </c>
      <c r="F118" s="5">
        <f>MAX(0,B118-E118)</f>
        <v/>
      </c>
    </row>
    <row r="119">
      <c r="A119" s="21">
        <f>A118+1</f>
        <v/>
      </c>
      <c r="B119" s="5">
        <f>F118</f>
        <v/>
      </c>
      <c r="C119" s="5">
        <f>$C$4</f>
        <v/>
      </c>
      <c r="D119" s="5">
        <f>B119*'1. Inputs'!$B$9/12</f>
        <v/>
      </c>
      <c r="E119" s="5">
        <f>C119-D119</f>
        <v/>
      </c>
      <c r="F119" s="5">
        <f>MAX(0,B119-E119)</f>
        <v/>
      </c>
    </row>
    <row r="120">
      <c r="A120" s="21">
        <f>A119+1</f>
        <v/>
      </c>
      <c r="B120" s="5">
        <f>F119</f>
        <v/>
      </c>
      <c r="C120" s="5">
        <f>$C$4</f>
        <v/>
      </c>
      <c r="D120" s="5">
        <f>B120*'1. Inputs'!$B$9/12</f>
        <v/>
      </c>
      <c r="E120" s="5">
        <f>C120-D120</f>
        <v/>
      </c>
      <c r="F120" s="5">
        <f>MAX(0,B120-E120)</f>
        <v/>
      </c>
    </row>
    <row r="121">
      <c r="A121" s="21">
        <f>A120+1</f>
        <v/>
      </c>
      <c r="B121" s="5">
        <f>F120</f>
        <v/>
      </c>
      <c r="C121" s="5">
        <f>$C$4</f>
        <v/>
      </c>
      <c r="D121" s="5">
        <f>B121*'1. Inputs'!$B$9/12</f>
        <v/>
      </c>
      <c r="E121" s="5">
        <f>C121-D121</f>
        <v/>
      </c>
      <c r="F121" s="5">
        <f>MAX(0,B121-E121)</f>
        <v/>
      </c>
    </row>
    <row r="122">
      <c r="A122" s="21">
        <f>A121+1</f>
        <v/>
      </c>
      <c r="B122" s="5">
        <f>F121</f>
        <v/>
      </c>
      <c r="C122" s="5">
        <f>$C$4</f>
        <v/>
      </c>
      <c r="D122" s="5">
        <f>B122*'1. Inputs'!$B$9/12</f>
        <v/>
      </c>
      <c r="E122" s="5">
        <f>C122-D122</f>
        <v/>
      </c>
      <c r="F122" s="5">
        <f>MAX(0,B122-E122)</f>
        <v/>
      </c>
    </row>
    <row r="123">
      <c r="A123" s="21">
        <f>A122+1</f>
        <v/>
      </c>
      <c r="B123" s="5">
        <f>F122</f>
        <v/>
      </c>
      <c r="C123" s="5">
        <f>$C$4</f>
        <v/>
      </c>
      <c r="D123" s="5">
        <f>B123*'1. Inputs'!$B$9/12</f>
        <v/>
      </c>
      <c r="E123" s="5">
        <f>C123-D123</f>
        <v/>
      </c>
      <c r="F123" s="5">
        <f>MAX(0,B123-E123)</f>
        <v/>
      </c>
    </row>
    <row r="124">
      <c r="A124" s="21">
        <f>A123+1</f>
        <v/>
      </c>
      <c r="B124" s="5">
        <f>F123</f>
        <v/>
      </c>
      <c r="C124" s="5">
        <f>$C$4</f>
        <v/>
      </c>
      <c r="D124" s="5">
        <f>B124*'1. Inputs'!$B$9/12</f>
        <v/>
      </c>
      <c r="E124" s="5">
        <f>C124-D124</f>
        <v/>
      </c>
      <c r="F124" s="5">
        <f>MAX(0,B124-E124)</f>
        <v/>
      </c>
    </row>
    <row r="125">
      <c r="A125" s="21">
        <f>A124+1</f>
        <v/>
      </c>
      <c r="B125" s="5">
        <f>F124</f>
        <v/>
      </c>
      <c r="C125" s="5">
        <f>$C$4</f>
        <v/>
      </c>
      <c r="D125" s="5">
        <f>B125*'1. Inputs'!$B$9/12</f>
        <v/>
      </c>
      <c r="E125" s="5">
        <f>C125-D125</f>
        <v/>
      </c>
      <c r="F125" s="5">
        <f>MAX(0,B125-E125)</f>
        <v/>
      </c>
    </row>
    <row r="126">
      <c r="A126" s="21">
        <f>A125+1</f>
        <v/>
      </c>
      <c r="B126" s="5">
        <f>F125</f>
        <v/>
      </c>
      <c r="C126" s="5">
        <f>$C$4</f>
        <v/>
      </c>
      <c r="D126" s="5">
        <f>B126*'1. Inputs'!$B$9/12</f>
        <v/>
      </c>
      <c r="E126" s="5">
        <f>C126-D126</f>
        <v/>
      </c>
      <c r="F126" s="5">
        <f>MAX(0,B126-E126)</f>
        <v/>
      </c>
    </row>
    <row r="127">
      <c r="A127" s="21">
        <f>A126+1</f>
        <v/>
      </c>
      <c r="B127" s="5">
        <f>F126</f>
        <v/>
      </c>
      <c r="C127" s="5">
        <f>$C$4</f>
        <v/>
      </c>
      <c r="D127" s="5">
        <f>B127*'1. Inputs'!$B$9/12</f>
        <v/>
      </c>
      <c r="E127" s="5">
        <f>C127-D127</f>
        <v/>
      </c>
      <c r="F127" s="5">
        <f>MAX(0,B127-E127)</f>
        <v/>
      </c>
    </row>
    <row r="128">
      <c r="A128" s="21">
        <f>A127+1</f>
        <v/>
      </c>
      <c r="B128" s="5">
        <f>F127</f>
        <v/>
      </c>
      <c r="C128" s="5">
        <f>$C$4</f>
        <v/>
      </c>
      <c r="D128" s="5">
        <f>B128*'1. Inputs'!$B$9/12</f>
        <v/>
      </c>
      <c r="E128" s="5">
        <f>C128-D128</f>
        <v/>
      </c>
      <c r="F128" s="5">
        <f>MAX(0,B128-E128)</f>
        <v/>
      </c>
    </row>
    <row r="129">
      <c r="A129" s="21">
        <f>A128+1</f>
        <v/>
      </c>
      <c r="B129" s="5">
        <f>F128</f>
        <v/>
      </c>
      <c r="C129" s="5">
        <f>$C$4</f>
        <v/>
      </c>
      <c r="D129" s="5">
        <f>B129*'1. Inputs'!$B$9/12</f>
        <v/>
      </c>
      <c r="E129" s="5">
        <f>C129-D129</f>
        <v/>
      </c>
      <c r="F129" s="5">
        <f>MAX(0,B129-E129)</f>
        <v/>
      </c>
    </row>
    <row r="130">
      <c r="A130" s="21">
        <f>A129+1</f>
        <v/>
      </c>
      <c r="B130" s="5">
        <f>F129</f>
        <v/>
      </c>
      <c r="C130" s="5">
        <f>$C$4</f>
        <v/>
      </c>
      <c r="D130" s="5">
        <f>B130*'1. Inputs'!$B$9/12</f>
        <v/>
      </c>
      <c r="E130" s="5">
        <f>C130-D130</f>
        <v/>
      </c>
      <c r="F130" s="5">
        <f>MAX(0,B130-E130)</f>
        <v/>
      </c>
    </row>
    <row r="131">
      <c r="A131" s="21">
        <f>A130+1</f>
        <v/>
      </c>
      <c r="B131" s="5">
        <f>F130</f>
        <v/>
      </c>
      <c r="C131" s="5">
        <f>$C$4</f>
        <v/>
      </c>
      <c r="D131" s="5">
        <f>B131*'1. Inputs'!$B$9/12</f>
        <v/>
      </c>
      <c r="E131" s="5">
        <f>C131-D131</f>
        <v/>
      </c>
      <c r="F131" s="5">
        <f>MAX(0,B131-E131)</f>
        <v/>
      </c>
    </row>
    <row r="132">
      <c r="A132" s="21">
        <f>A131+1</f>
        <v/>
      </c>
      <c r="B132" s="5">
        <f>F131</f>
        <v/>
      </c>
      <c r="C132" s="5">
        <f>$C$4</f>
        <v/>
      </c>
      <c r="D132" s="5">
        <f>B132*'1. Inputs'!$B$9/12</f>
        <v/>
      </c>
      <c r="E132" s="5">
        <f>C132-D132</f>
        <v/>
      </c>
      <c r="F132" s="5">
        <f>MAX(0,B132-E132)</f>
        <v/>
      </c>
    </row>
    <row r="133">
      <c r="A133" s="21">
        <f>A132+1</f>
        <v/>
      </c>
      <c r="B133" s="5">
        <f>F132</f>
        <v/>
      </c>
      <c r="C133" s="5">
        <f>$C$4</f>
        <v/>
      </c>
      <c r="D133" s="5">
        <f>B133*'1. Inputs'!$B$9/12</f>
        <v/>
      </c>
      <c r="E133" s="5">
        <f>C133-D133</f>
        <v/>
      </c>
      <c r="F133" s="5">
        <f>MAX(0,B133-E133)</f>
        <v/>
      </c>
    </row>
    <row r="134">
      <c r="A134" s="21">
        <f>A133+1</f>
        <v/>
      </c>
      <c r="B134" s="5">
        <f>F133</f>
        <v/>
      </c>
      <c r="C134" s="5">
        <f>$C$4</f>
        <v/>
      </c>
      <c r="D134" s="5">
        <f>B134*'1. Inputs'!$B$9/12</f>
        <v/>
      </c>
      <c r="E134" s="5">
        <f>C134-D134</f>
        <v/>
      </c>
      <c r="F134" s="5">
        <f>MAX(0,B134-E134)</f>
        <v/>
      </c>
    </row>
    <row r="135">
      <c r="A135" s="21">
        <f>A134+1</f>
        <v/>
      </c>
      <c r="B135" s="5">
        <f>F134</f>
        <v/>
      </c>
      <c r="C135" s="5">
        <f>$C$4</f>
        <v/>
      </c>
      <c r="D135" s="5">
        <f>B135*'1. Inputs'!$B$9/12</f>
        <v/>
      </c>
      <c r="E135" s="5">
        <f>C135-D135</f>
        <v/>
      </c>
      <c r="F135" s="5">
        <f>MAX(0,B135-E135)</f>
        <v/>
      </c>
    </row>
    <row r="136">
      <c r="A136" s="21">
        <f>A135+1</f>
        <v/>
      </c>
      <c r="B136" s="5">
        <f>F135</f>
        <v/>
      </c>
      <c r="C136" s="5">
        <f>$C$4</f>
        <v/>
      </c>
      <c r="D136" s="5">
        <f>B136*'1. Inputs'!$B$9/12</f>
        <v/>
      </c>
      <c r="E136" s="5">
        <f>C136-D136</f>
        <v/>
      </c>
      <c r="F136" s="5">
        <f>MAX(0,B136-E136)</f>
        <v/>
      </c>
    </row>
    <row r="137">
      <c r="A137" s="21">
        <f>A136+1</f>
        <v/>
      </c>
      <c r="B137" s="5">
        <f>F136</f>
        <v/>
      </c>
      <c r="C137" s="5">
        <f>$C$4</f>
        <v/>
      </c>
      <c r="D137" s="5">
        <f>B137*'1. Inputs'!$B$9/12</f>
        <v/>
      </c>
      <c r="E137" s="5">
        <f>C137-D137</f>
        <v/>
      </c>
      <c r="F137" s="5">
        <f>MAX(0,B137-E137)</f>
        <v/>
      </c>
    </row>
    <row r="138">
      <c r="A138" s="21">
        <f>A137+1</f>
        <v/>
      </c>
      <c r="B138" s="5">
        <f>F137</f>
        <v/>
      </c>
      <c r="C138" s="5">
        <f>$C$4</f>
        <v/>
      </c>
      <c r="D138" s="5">
        <f>B138*'1. Inputs'!$B$9/12</f>
        <v/>
      </c>
      <c r="E138" s="5">
        <f>C138-D138</f>
        <v/>
      </c>
      <c r="F138" s="5">
        <f>MAX(0,B138-E138)</f>
        <v/>
      </c>
    </row>
    <row r="139">
      <c r="A139" s="21">
        <f>A138+1</f>
        <v/>
      </c>
      <c r="B139" s="5">
        <f>F138</f>
        <v/>
      </c>
      <c r="C139" s="5">
        <f>$C$4</f>
        <v/>
      </c>
      <c r="D139" s="5">
        <f>B139*'1. Inputs'!$B$9/12</f>
        <v/>
      </c>
      <c r="E139" s="5">
        <f>C139-D139</f>
        <v/>
      </c>
      <c r="F139" s="5">
        <f>MAX(0,B139-E139)</f>
        <v/>
      </c>
    </row>
    <row r="140">
      <c r="A140" s="21">
        <f>A139+1</f>
        <v/>
      </c>
      <c r="B140" s="5">
        <f>F139</f>
        <v/>
      </c>
      <c r="C140" s="5">
        <f>$C$4</f>
        <v/>
      </c>
      <c r="D140" s="5">
        <f>B140*'1. Inputs'!$B$9/12</f>
        <v/>
      </c>
      <c r="E140" s="5">
        <f>C140-D140</f>
        <v/>
      </c>
      <c r="F140" s="5">
        <f>MAX(0,B140-E140)</f>
        <v/>
      </c>
    </row>
    <row r="141">
      <c r="A141" s="21">
        <f>A140+1</f>
        <v/>
      </c>
      <c r="B141" s="5">
        <f>F140</f>
        <v/>
      </c>
      <c r="C141" s="5">
        <f>$C$4</f>
        <v/>
      </c>
      <c r="D141" s="5">
        <f>B141*'1. Inputs'!$B$9/12</f>
        <v/>
      </c>
      <c r="E141" s="5">
        <f>C141-D141</f>
        <v/>
      </c>
      <c r="F141" s="5">
        <f>MAX(0,B141-E141)</f>
        <v/>
      </c>
    </row>
    <row r="142">
      <c r="A142" s="21">
        <f>A141+1</f>
        <v/>
      </c>
      <c r="B142" s="5">
        <f>F141</f>
        <v/>
      </c>
      <c r="C142" s="5">
        <f>$C$4</f>
        <v/>
      </c>
      <c r="D142" s="5">
        <f>B142*'1. Inputs'!$B$9/12</f>
        <v/>
      </c>
      <c r="E142" s="5">
        <f>C142-D142</f>
        <v/>
      </c>
      <c r="F142" s="5">
        <f>MAX(0,B142-E142)</f>
        <v/>
      </c>
    </row>
    <row r="143">
      <c r="A143" s="21">
        <f>A142+1</f>
        <v/>
      </c>
      <c r="B143" s="5">
        <f>F142</f>
        <v/>
      </c>
      <c r="C143" s="5">
        <f>$C$4</f>
        <v/>
      </c>
      <c r="D143" s="5">
        <f>B143*'1. Inputs'!$B$9/12</f>
        <v/>
      </c>
      <c r="E143" s="5">
        <f>C143-D143</f>
        <v/>
      </c>
      <c r="F143" s="5">
        <f>MAX(0,B143-E143)</f>
        <v/>
      </c>
    </row>
    <row r="144">
      <c r="A144" s="21">
        <f>A143+1</f>
        <v/>
      </c>
      <c r="B144" s="5">
        <f>F143</f>
        <v/>
      </c>
      <c r="C144" s="5">
        <f>$C$4</f>
        <v/>
      </c>
      <c r="D144" s="5">
        <f>B144*'1. Inputs'!$B$9/12</f>
        <v/>
      </c>
      <c r="E144" s="5">
        <f>C144-D144</f>
        <v/>
      </c>
      <c r="F144" s="5">
        <f>MAX(0,B144-E144)</f>
        <v/>
      </c>
    </row>
    <row r="145">
      <c r="A145" s="21">
        <f>A144+1</f>
        <v/>
      </c>
      <c r="B145" s="5">
        <f>F144</f>
        <v/>
      </c>
      <c r="C145" s="5">
        <f>$C$4</f>
        <v/>
      </c>
      <c r="D145" s="5">
        <f>B145*'1. Inputs'!$B$9/12</f>
        <v/>
      </c>
      <c r="E145" s="5">
        <f>C145-D145</f>
        <v/>
      </c>
      <c r="F145" s="5">
        <f>MAX(0,B145-E145)</f>
        <v/>
      </c>
    </row>
    <row r="146">
      <c r="A146" s="21">
        <f>A145+1</f>
        <v/>
      </c>
      <c r="B146" s="5">
        <f>F145</f>
        <v/>
      </c>
      <c r="C146" s="5">
        <f>$C$4</f>
        <v/>
      </c>
      <c r="D146" s="5">
        <f>B146*'1. Inputs'!$B$9/12</f>
        <v/>
      </c>
      <c r="E146" s="5">
        <f>C146-D146</f>
        <v/>
      </c>
      <c r="F146" s="5">
        <f>MAX(0,B146-E146)</f>
        <v/>
      </c>
    </row>
    <row r="147">
      <c r="A147" s="21">
        <f>A146+1</f>
        <v/>
      </c>
      <c r="B147" s="5">
        <f>F146</f>
        <v/>
      </c>
      <c r="C147" s="5">
        <f>$C$4</f>
        <v/>
      </c>
      <c r="D147" s="5">
        <f>B147*'1. Inputs'!$B$9/12</f>
        <v/>
      </c>
      <c r="E147" s="5">
        <f>C147-D147</f>
        <v/>
      </c>
      <c r="F147" s="5">
        <f>MAX(0,B147-E147)</f>
        <v/>
      </c>
    </row>
    <row r="148">
      <c r="A148" s="21">
        <f>A147+1</f>
        <v/>
      </c>
      <c r="B148" s="5">
        <f>F147</f>
        <v/>
      </c>
      <c r="C148" s="5">
        <f>$C$4</f>
        <v/>
      </c>
      <c r="D148" s="5">
        <f>B148*'1. Inputs'!$B$9/12</f>
        <v/>
      </c>
      <c r="E148" s="5">
        <f>C148-D148</f>
        <v/>
      </c>
      <c r="F148" s="5">
        <f>MAX(0,B148-E148)</f>
        <v/>
      </c>
    </row>
    <row r="149">
      <c r="A149" s="21">
        <f>A148+1</f>
        <v/>
      </c>
      <c r="B149" s="5">
        <f>F148</f>
        <v/>
      </c>
      <c r="C149" s="5">
        <f>$C$4</f>
        <v/>
      </c>
      <c r="D149" s="5">
        <f>B149*'1. Inputs'!$B$9/12</f>
        <v/>
      </c>
      <c r="E149" s="5">
        <f>C149-D149</f>
        <v/>
      </c>
      <c r="F149" s="5">
        <f>MAX(0,B149-E149)</f>
        <v/>
      </c>
    </row>
    <row r="150">
      <c r="A150" s="21">
        <f>A149+1</f>
        <v/>
      </c>
      <c r="B150" s="5">
        <f>F149</f>
        <v/>
      </c>
      <c r="C150" s="5">
        <f>$C$4</f>
        <v/>
      </c>
      <c r="D150" s="5">
        <f>B150*'1. Inputs'!$B$9/12</f>
        <v/>
      </c>
      <c r="E150" s="5">
        <f>C150-D150</f>
        <v/>
      </c>
      <c r="F150" s="5">
        <f>MAX(0,B150-E150)</f>
        <v/>
      </c>
    </row>
    <row r="151">
      <c r="A151" s="21">
        <f>A150+1</f>
        <v/>
      </c>
      <c r="B151" s="5">
        <f>F150</f>
        <v/>
      </c>
      <c r="C151" s="5">
        <f>$C$4</f>
        <v/>
      </c>
      <c r="D151" s="5">
        <f>B151*'1. Inputs'!$B$9/12</f>
        <v/>
      </c>
      <c r="E151" s="5">
        <f>C151-D151</f>
        <v/>
      </c>
      <c r="F151" s="5">
        <f>MAX(0,B151-E151)</f>
        <v/>
      </c>
    </row>
    <row r="152">
      <c r="A152" s="21">
        <f>A151+1</f>
        <v/>
      </c>
      <c r="B152" s="5">
        <f>F151</f>
        <v/>
      </c>
      <c r="C152" s="5">
        <f>$C$4</f>
        <v/>
      </c>
      <c r="D152" s="5">
        <f>B152*'1. Inputs'!$B$9/12</f>
        <v/>
      </c>
      <c r="E152" s="5">
        <f>C152-D152</f>
        <v/>
      </c>
      <c r="F152" s="5">
        <f>MAX(0,B152-E152)</f>
        <v/>
      </c>
    </row>
    <row r="153">
      <c r="A153" s="21">
        <f>A152+1</f>
        <v/>
      </c>
      <c r="B153" s="5">
        <f>F152</f>
        <v/>
      </c>
      <c r="C153" s="5">
        <f>$C$4</f>
        <v/>
      </c>
      <c r="D153" s="5">
        <f>B153*'1. Inputs'!$B$9/12</f>
        <v/>
      </c>
      <c r="E153" s="5">
        <f>C153-D153</f>
        <v/>
      </c>
      <c r="F153" s="5">
        <f>MAX(0,B153-E153)</f>
        <v/>
      </c>
    </row>
    <row r="154">
      <c r="A154" s="21">
        <f>A153+1</f>
        <v/>
      </c>
      <c r="B154" s="5">
        <f>F153</f>
        <v/>
      </c>
      <c r="C154" s="5">
        <f>$C$4</f>
        <v/>
      </c>
      <c r="D154" s="5">
        <f>B154*'1. Inputs'!$B$9/12</f>
        <v/>
      </c>
      <c r="E154" s="5">
        <f>C154-D154</f>
        <v/>
      </c>
      <c r="F154" s="5">
        <f>MAX(0,B154-E154)</f>
        <v/>
      </c>
    </row>
    <row r="155">
      <c r="A155" s="21">
        <f>A154+1</f>
        <v/>
      </c>
      <c r="B155" s="5">
        <f>F154</f>
        <v/>
      </c>
      <c r="C155" s="5">
        <f>$C$4</f>
        <v/>
      </c>
      <c r="D155" s="5">
        <f>B155*'1. Inputs'!$B$9/12</f>
        <v/>
      </c>
      <c r="E155" s="5">
        <f>C155-D155</f>
        <v/>
      </c>
      <c r="F155" s="5">
        <f>MAX(0,B155-E155)</f>
        <v/>
      </c>
    </row>
    <row r="156">
      <c r="A156" s="21">
        <f>A155+1</f>
        <v/>
      </c>
      <c r="B156" s="5">
        <f>F155</f>
        <v/>
      </c>
      <c r="C156" s="5">
        <f>$C$4</f>
        <v/>
      </c>
      <c r="D156" s="5">
        <f>B156*'1. Inputs'!$B$9/12</f>
        <v/>
      </c>
      <c r="E156" s="5">
        <f>C156-D156</f>
        <v/>
      </c>
      <c r="F156" s="5">
        <f>MAX(0,B156-E156)</f>
        <v/>
      </c>
    </row>
    <row r="157">
      <c r="A157" s="21">
        <f>A156+1</f>
        <v/>
      </c>
      <c r="B157" s="5">
        <f>F156</f>
        <v/>
      </c>
      <c r="C157" s="5">
        <f>$C$4</f>
        <v/>
      </c>
      <c r="D157" s="5">
        <f>B157*'1. Inputs'!$B$9/12</f>
        <v/>
      </c>
      <c r="E157" s="5">
        <f>C157-D157</f>
        <v/>
      </c>
      <c r="F157" s="5">
        <f>MAX(0,B157-E157)</f>
        <v/>
      </c>
    </row>
    <row r="158">
      <c r="A158" s="21">
        <f>A157+1</f>
        <v/>
      </c>
      <c r="B158" s="5">
        <f>F157</f>
        <v/>
      </c>
      <c r="C158" s="5">
        <f>$C$4</f>
        <v/>
      </c>
      <c r="D158" s="5">
        <f>B158*'1. Inputs'!$B$9/12</f>
        <v/>
      </c>
      <c r="E158" s="5">
        <f>C158-D158</f>
        <v/>
      </c>
      <c r="F158" s="5">
        <f>MAX(0,B158-E158)</f>
        <v/>
      </c>
    </row>
    <row r="159">
      <c r="A159" s="21">
        <f>A158+1</f>
        <v/>
      </c>
      <c r="B159" s="5">
        <f>F158</f>
        <v/>
      </c>
      <c r="C159" s="5">
        <f>$C$4</f>
        <v/>
      </c>
      <c r="D159" s="5">
        <f>B159*'1. Inputs'!$B$9/12</f>
        <v/>
      </c>
      <c r="E159" s="5">
        <f>C159-D159</f>
        <v/>
      </c>
      <c r="F159" s="5">
        <f>MAX(0,B159-E159)</f>
        <v/>
      </c>
    </row>
    <row r="160">
      <c r="A160" s="21">
        <f>A159+1</f>
        <v/>
      </c>
      <c r="B160" s="5">
        <f>F159</f>
        <v/>
      </c>
      <c r="C160" s="5">
        <f>$C$4</f>
        <v/>
      </c>
      <c r="D160" s="5">
        <f>B160*'1. Inputs'!$B$9/12</f>
        <v/>
      </c>
      <c r="E160" s="5">
        <f>C160-D160</f>
        <v/>
      </c>
      <c r="F160" s="5">
        <f>MAX(0,B160-E160)</f>
        <v/>
      </c>
    </row>
    <row r="161">
      <c r="A161" s="21">
        <f>A160+1</f>
        <v/>
      </c>
      <c r="B161" s="5">
        <f>F160</f>
        <v/>
      </c>
      <c r="C161" s="5">
        <f>$C$4</f>
        <v/>
      </c>
      <c r="D161" s="5">
        <f>B161*'1. Inputs'!$B$9/12</f>
        <v/>
      </c>
      <c r="E161" s="5">
        <f>C161-D161</f>
        <v/>
      </c>
      <c r="F161" s="5">
        <f>MAX(0,B161-E161)</f>
        <v/>
      </c>
    </row>
    <row r="162">
      <c r="A162" s="21">
        <f>A161+1</f>
        <v/>
      </c>
      <c r="B162" s="5">
        <f>F161</f>
        <v/>
      </c>
      <c r="C162" s="5">
        <f>$C$4</f>
        <v/>
      </c>
      <c r="D162" s="5">
        <f>B162*'1. Inputs'!$B$9/12</f>
        <v/>
      </c>
      <c r="E162" s="5">
        <f>C162-D162</f>
        <v/>
      </c>
      <c r="F162" s="5">
        <f>MAX(0,B162-E162)</f>
        <v/>
      </c>
    </row>
    <row r="163">
      <c r="A163" s="21">
        <f>A162+1</f>
        <v/>
      </c>
      <c r="B163" s="5">
        <f>F162</f>
        <v/>
      </c>
      <c r="C163" s="5">
        <f>$C$4</f>
        <v/>
      </c>
      <c r="D163" s="5">
        <f>B163*'1. Inputs'!$B$9/12</f>
        <v/>
      </c>
      <c r="E163" s="5">
        <f>C163-D163</f>
        <v/>
      </c>
      <c r="F163" s="5">
        <f>MAX(0,B163-E163)</f>
        <v/>
      </c>
    </row>
    <row r="164">
      <c r="A164" s="21">
        <f>A163+1</f>
        <v/>
      </c>
      <c r="B164" s="5">
        <f>F163</f>
        <v/>
      </c>
      <c r="C164" s="5">
        <f>$C$4</f>
        <v/>
      </c>
      <c r="D164" s="5">
        <f>B164*'1. Inputs'!$B$9/12</f>
        <v/>
      </c>
      <c r="E164" s="5">
        <f>C164-D164</f>
        <v/>
      </c>
      <c r="F164" s="5">
        <f>MAX(0,B164-E164)</f>
        <v/>
      </c>
    </row>
    <row r="165">
      <c r="A165" s="21">
        <f>A164+1</f>
        <v/>
      </c>
      <c r="B165" s="5">
        <f>F164</f>
        <v/>
      </c>
      <c r="C165" s="5">
        <f>$C$4</f>
        <v/>
      </c>
      <c r="D165" s="5">
        <f>B165*'1. Inputs'!$B$9/12</f>
        <v/>
      </c>
      <c r="E165" s="5">
        <f>C165-D165</f>
        <v/>
      </c>
      <c r="F165" s="5">
        <f>MAX(0,B165-E165)</f>
        <v/>
      </c>
    </row>
    <row r="166">
      <c r="A166" s="21">
        <f>A165+1</f>
        <v/>
      </c>
      <c r="B166" s="5">
        <f>F165</f>
        <v/>
      </c>
      <c r="C166" s="5">
        <f>$C$4</f>
        <v/>
      </c>
      <c r="D166" s="5">
        <f>B166*'1. Inputs'!$B$9/12</f>
        <v/>
      </c>
      <c r="E166" s="5">
        <f>C166-D166</f>
        <v/>
      </c>
      <c r="F166" s="5">
        <f>MAX(0,B166-E166)</f>
        <v/>
      </c>
    </row>
    <row r="167">
      <c r="A167" s="21">
        <f>A166+1</f>
        <v/>
      </c>
      <c r="B167" s="5">
        <f>F166</f>
        <v/>
      </c>
      <c r="C167" s="5">
        <f>$C$4</f>
        <v/>
      </c>
      <c r="D167" s="5">
        <f>B167*'1. Inputs'!$B$9/12</f>
        <v/>
      </c>
      <c r="E167" s="5">
        <f>C167-D167</f>
        <v/>
      </c>
      <c r="F167" s="5">
        <f>MAX(0,B167-E167)</f>
        <v/>
      </c>
    </row>
    <row r="168">
      <c r="A168" s="21">
        <f>A167+1</f>
        <v/>
      </c>
      <c r="B168" s="5">
        <f>F167</f>
        <v/>
      </c>
      <c r="C168" s="5">
        <f>$C$4</f>
        <v/>
      </c>
      <c r="D168" s="5">
        <f>B168*'1. Inputs'!$B$9/12</f>
        <v/>
      </c>
      <c r="E168" s="5">
        <f>C168-D168</f>
        <v/>
      </c>
      <c r="F168" s="5">
        <f>MAX(0,B168-E168)</f>
        <v/>
      </c>
    </row>
    <row r="169">
      <c r="A169" s="21">
        <f>A168+1</f>
        <v/>
      </c>
      <c r="B169" s="5">
        <f>F168</f>
        <v/>
      </c>
      <c r="C169" s="5">
        <f>$C$4</f>
        <v/>
      </c>
      <c r="D169" s="5">
        <f>B169*'1. Inputs'!$B$9/12</f>
        <v/>
      </c>
      <c r="E169" s="5">
        <f>C169-D169</f>
        <v/>
      </c>
      <c r="F169" s="5">
        <f>MAX(0,B169-E169)</f>
        <v/>
      </c>
    </row>
    <row r="170">
      <c r="A170" s="21">
        <f>A169+1</f>
        <v/>
      </c>
      <c r="B170" s="5">
        <f>F169</f>
        <v/>
      </c>
      <c r="C170" s="5">
        <f>$C$4</f>
        <v/>
      </c>
      <c r="D170" s="5">
        <f>B170*'1. Inputs'!$B$9/12</f>
        <v/>
      </c>
      <c r="E170" s="5">
        <f>C170-D170</f>
        <v/>
      </c>
      <c r="F170" s="5">
        <f>MAX(0,B170-E170)</f>
        <v/>
      </c>
    </row>
    <row r="171">
      <c r="A171" s="21">
        <f>A170+1</f>
        <v/>
      </c>
      <c r="B171" s="5">
        <f>F170</f>
        <v/>
      </c>
      <c r="C171" s="5">
        <f>$C$4</f>
        <v/>
      </c>
      <c r="D171" s="5">
        <f>B171*'1. Inputs'!$B$9/12</f>
        <v/>
      </c>
      <c r="E171" s="5">
        <f>C171-D171</f>
        <v/>
      </c>
      <c r="F171" s="5">
        <f>MAX(0,B171-E171)</f>
        <v/>
      </c>
    </row>
    <row r="172">
      <c r="A172" s="21">
        <f>A171+1</f>
        <v/>
      </c>
      <c r="B172" s="5">
        <f>F171</f>
        <v/>
      </c>
      <c r="C172" s="5">
        <f>$C$4</f>
        <v/>
      </c>
      <c r="D172" s="5">
        <f>B172*'1. Inputs'!$B$9/12</f>
        <v/>
      </c>
      <c r="E172" s="5">
        <f>C172-D172</f>
        <v/>
      </c>
      <c r="F172" s="5">
        <f>MAX(0,B172-E172)</f>
        <v/>
      </c>
    </row>
    <row r="173">
      <c r="A173" s="21">
        <f>A172+1</f>
        <v/>
      </c>
      <c r="B173" s="5">
        <f>F172</f>
        <v/>
      </c>
      <c r="C173" s="5">
        <f>$C$4</f>
        <v/>
      </c>
      <c r="D173" s="5">
        <f>B173*'1. Inputs'!$B$9/12</f>
        <v/>
      </c>
      <c r="E173" s="5">
        <f>C173-D173</f>
        <v/>
      </c>
      <c r="F173" s="5">
        <f>MAX(0,B173-E173)</f>
        <v/>
      </c>
    </row>
    <row r="174">
      <c r="A174" s="21">
        <f>A173+1</f>
        <v/>
      </c>
      <c r="B174" s="5">
        <f>F173</f>
        <v/>
      </c>
      <c r="C174" s="5">
        <f>$C$4</f>
        <v/>
      </c>
      <c r="D174" s="5">
        <f>B174*'1. Inputs'!$B$9/12</f>
        <v/>
      </c>
      <c r="E174" s="5">
        <f>C174-D174</f>
        <v/>
      </c>
      <c r="F174" s="5">
        <f>MAX(0,B174-E174)</f>
        <v/>
      </c>
    </row>
    <row r="175">
      <c r="A175" s="21">
        <f>A174+1</f>
        <v/>
      </c>
      <c r="B175" s="5">
        <f>F174</f>
        <v/>
      </c>
      <c r="C175" s="5">
        <f>$C$4</f>
        <v/>
      </c>
      <c r="D175" s="5">
        <f>B175*'1. Inputs'!$B$9/12</f>
        <v/>
      </c>
      <c r="E175" s="5">
        <f>C175-D175</f>
        <v/>
      </c>
      <c r="F175" s="5">
        <f>MAX(0,B175-E175)</f>
        <v/>
      </c>
    </row>
    <row r="176">
      <c r="A176" s="21">
        <f>A175+1</f>
        <v/>
      </c>
      <c r="B176" s="5">
        <f>F175</f>
        <v/>
      </c>
      <c r="C176" s="5">
        <f>$C$4</f>
        <v/>
      </c>
      <c r="D176" s="5">
        <f>B176*'1. Inputs'!$B$9/12</f>
        <v/>
      </c>
      <c r="E176" s="5">
        <f>C176-D176</f>
        <v/>
      </c>
      <c r="F176" s="5">
        <f>MAX(0,B176-E176)</f>
        <v/>
      </c>
    </row>
    <row r="177">
      <c r="A177" s="21">
        <f>A176+1</f>
        <v/>
      </c>
      <c r="B177" s="5">
        <f>F176</f>
        <v/>
      </c>
      <c r="C177" s="5">
        <f>$C$4</f>
        <v/>
      </c>
      <c r="D177" s="5">
        <f>B177*'1. Inputs'!$B$9/12</f>
        <v/>
      </c>
      <c r="E177" s="5">
        <f>C177-D177</f>
        <v/>
      </c>
      <c r="F177" s="5">
        <f>MAX(0,B177-E177)</f>
        <v/>
      </c>
    </row>
    <row r="178">
      <c r="A178" s="21">
        <f>A177+1</f>
        <v/>
      </c>
      <c r="B178" s="5">
        <f>F177</f>
        <v/>
      </c>
      <c r="C178" s="5">
        <f>$C$4</f>
        <v/>
      </c>
      <c r="D178" s="5">
        <f>B178*'1. Inputs'!$B$9/12</f>
        <v/>
      </c>
      <c r="E178" s="5">
        <f>C178-D178</f>
        <v/>
      </c>
      <c r="F178" s="5">
        <f>MAX(0,B178-E178)</f>
        <v/>
      </c>
    </row>
    <row r="179">
      <c r="A179" s="21">
        <f>A178+1</f>
        <v/>
      </c>
      <c r="B179" s="5">
        <f>F178</f>
        <v/>
      </c>
      <c r="C179" s="5">
        <f>$C$4</f>
        <v/>
      </c>
      <c r="D179" s="5">
        <f>B179*'1. Inputs'!$B$9/12</f>
        <v/>
      </c>
      <c r="E179" s="5">
        <f>C179-D179</f>
        <v/>
      </c>
      <c r="F179" s="5">
        <f>MAX(0,B179-E179)</f>
        <v/>
      </c>
    </row>
    <row r="180">
      <c r="A180" s="21">
        <f>A179+1</f>
        <v/>
      </c>
      <c r="B180" s="5">
        <f>F179</f>
        <v/>
      </c>
      <c r="C180" s="5">
        <f>$C$4</f>
        <v/>
      </c>
      <c r="D180" s="5">
        <f>B180*'1. Inputs'!$B$9/12</f>
        <v/>
      </c>
      <c r="E180" s="5">
        <f>C180-D180</f>
        <v/>
      </c>
      <c r="F180" s="5">
        <f>MAX(0,B180-E180)</f>
        <v/>
      </c>
    </row>
    <row r="181">
      <c r="A181" s="21">
        <f>A180+1</f>
        <v/>
      </c>
      <c r="B181" s="5">
        <f>F180</f>
        <v/>
      </c>
      <c r="C181" s="5">
        <f>$C$4</f>
        <v/>
      </c>
      <c r="D181" s="5">
        <f>B181*'1. Inputs'!$B$9/12</f>
        <v/>
      </c>
      <c r="E181" s="5">
        <f>C181-D181</f>
        <v/>
      </c>
      <c r="F181" s="5">
        <f>MAX(0,B181-E181)</f>
        <v/>
      </c>
    </row>
    <row r="182">
      <c r="A182" s="21">
        <f>A181+1</f>
        <v/>
      </c>
      <c r="B182" s="5">
        <f>F181</f>
        <v/>
      </c>
      <c r="C182" s="5">
        <f>$C$4</f>
        <v/>
      </c>
      <c r="D182" s="5">
        <f>B182*'1. Inputs'!$B$9/12</f>
        <v/>
      </c>
      <c r="E182" s="5">
        <f>C182-D182</f>
        <v/>
      </c>
      <c r="F182" s="5">
        <f>MAX(0,B182-E182)</f>
        <v/>
      </c>
    </row>
    <row r="183">
      <c r="A183" s="21">
        <f>A182+1</f>
        <v/>
      </c>
      <c r="B183" s="5">
        <f>F182</f>
        <v/>
      </c>
      <c r="C183" s="5">
        <f>$C$4</f>
        <v/>
      </c>
      <c r="D183" s="5">
        <f>B183*'1. Inputs'!$B$9/12</f>
        <v/>
      </c>
      <c r="E183" s="5">
        <f>C183-D183</f>
        <v/>
      </c>
      <c r="F183" s="5">
        <f>MAX(0,B183-E183)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0" customHeight="1">
      <c r="A1" s="19" t="inlineStr">
        <is>
          <t>YEAR-BY-YEAR LOAN SUMMARY</t>
        </is>
      </c>
    </row>
    <row r="3">
      <c r="A3" s="20" t="inlineStr">
        <is>
          <t>Year</t>
        </is>
      </c>
      <c r="B3" s="20" t="inlineStr">
        <is>
          <t>Opening Balance</t>
        </is>
      </c>
      <c r="C3" s="20" t="inlineStr">
        <is>
          <t>Principal Paid</t>
        </is>
      </c>
      <c r="D3" s="20" t="inlineStr">
        <is>
          <t>Interest Paid</t>
        </is>
      </c>
      <c r="E3" s="20" t="inlineStr">
        <is>
          <t>Closing Balance</t>
        </is>
      </c>
    </row>
    <row r="4">
      <c r="A4" s="21" t="n">
        <v>1</v>
      </c>
      <c r="B4" s="5">
        <f>'2. Amortization'!B4</f>
        <v/>
      </c>
      <c r="C4" s="5">
        <f>SUM('2. Amortization'!E4:E15)</f>
        <v/>
      </c>
      <c r="D4" s="5">
        <f>SUM('2. Amortization'!D4:D15)</f>
        <v/>
      </c>
      <c r="E4" s="5">
        <f>'2. Amortization'!F15</f>
        <v/>
      </c>
    </row>
    <row r="5">
      <c r="A5" s="21" t="n">
        <v>2</v>
      </c>
      <c r="B5" s="5">
        <f>'2. Amortization'!B16</f>
        <v/>
      </c>
      <c r="C5" s="5">
        <f>SUM('2. Amortization'!E16:E27)</f>
        <v/>
      </c>
      <c r="D5" s="5">
        <f>SUM('2. Amortization'!D16:D27)</f>
        <v/>
      </c>
      <c r="E5" s="5">
        <f>'2. Amortization'!F27</f>
        <v/>
      </c>
    </row>
    <row r="6">
      <c r="A6" s="21" t="n">
        <v>3</v>
      </c>
      <c r="B6" s="5">
        <f>'2. Amortization'!B28</f>
        <v/>
      </c>
      <c r="C6" s="5">
        <f>SUM('2. Amortization'!E28:E39)</f>
        <v/>
      </c>
      <c r="D6" s="5">
        <f>SUM('2. Amortization'!D28:D39)</f>
        <v/>
      </c>
      <c r="E6" s="5">
        <f>'2. Amortization'!F39</f>
        <v/>
      </c>
    </row>
    <row r="7">
      <c r="A7" s="21" t="n">
        <v>4</v>
      </c>
      <c r="B7" s="5">
        <f>'2. Amortization'!B40</f>
        <v/>
      </c>
      <c r="C7" s="5">
        <f>SUM('2. Amortization'!E40:E51)</f>
        <v/>
      </c>
      <c r="D7" s="5">
        <f>SUM('2. Amortization'!D40:D51)</f>
        <v/>
      </c>
      <c r="E7" s="5">
        <f>'2. Amortization'!F51</f>
        <v/>
      </c>
    </row>
    <row r="8">
      <c r="A8" s="21" t="n">
        <v>5</v>
      </c>
      <c r="B8" s="5">
        <f>'2. Amortization'!B52</f>
        <v/>
      </c>
      <c r="C8" s="5">
        <f>SUM('2. Amortization'!E52:E63)</f>
        <v/>
      </c>
      <c r="D8" s="5">
        <f>SUM('2. Amortization'!D52:D63)</f>
        <v/>
      </c>
      <c r="E8" s="5">
        <f>'2. Amortization'!F63</f>
        <v/>
      </c>
    </row>
    <row r="9">
      <c r="A9" s="21" t="n">
        <v>6</v>
      </c>
      <c r="B9" s="5">
        <f>'2. Amortization'!B64</f>
        <v/>
      </c>
      <c r="C9" s="5">
        <f>SUM('2. Amortization'!E64:E75)</f>
        <v/>
      </c>
      <c r="D9" s="5">
        <f>SUM('2. Amortization'!D64:D75)</f>
        <v/>
      </c>
      <c r="E9" s="5">
        <f>'2. Amortization'!F75</f>
        <v/>
      </c>
    </row>
    <row r="10">
      <c r="A10" s="21" t="n">
        <v>7</v>
      </c>
      <c r="B10" s="5">
        <f>'2. Amortization'!B76</f>
        <v/>
      </c>
      <c r="C10" s="5">
        <f>SUM('2. Amortization'!E76:E87)</f>
        <v/>
      </c>
      <c r="D10" s="5">
        <f>SUM('2. Amortization'!D76:D87)</f>
        <v/>
      </c>
      <c r="E10" s="5">
        <f>'2. Amortization'!F87</f>
        <v/>
      </c>
    </row>
    <row r="11">
      <c r="A11" s="21" t="n">
        <v>8</v>
      </c>
      <c r="B11" s="5">
        <f>'2. Amortization'!B88</f>
        <v/>
      </c>
      <c r="C11" s="5">
        <f>SUM('2. Amortization'!E88:E99)</f>
        <v/>
      </c>
      <c r="D11" s="5">
        <f>SUM('2. Amortization'!D88:D99)</f>
        <v/>
      </c>
      <c r="E11" s="5">
        <f>'2. Amortization'!F99</f>
        <v/>
      </c>
    </row>
    <row r="12">
      <c r="A12" s="21" t="n">
        <v>9</v>
      </c>
      <c r="B12" s="5">
        <f>'2. Amortization'!B100</f>
        <v/>
      </c>
      <c r="C12" s="5">
        <f>SUM('2. Amortization'!E100:E111)</f>
        <v/>
      </c>
      <c r="D12" s="5">
        <f>SUM('2. Amortization'!D100:D111)</f>
        <v/>
      </c>
      <c r="E12" s="5">
        <f>'2. Amortization'!F111</f>
        <v/>
      </c>
    </row>
    <row r="13">
      <c r="A13" s="21" t="n">
        <v>10</v>
      </c>
      <c r="B13" s="5">
        <f>'2. Amortization'!B112</f>
        <v/>
      </c>
      <c r="C13" s="5">
        <f>SUM('2. Amortization'!E112:E123)</f>
        <v/>
      </c>
      <c r="D13" s="5">
        <f>SUM('2. Amortization'!D112:D123)</f>
        <v/>
      </c>
      <c r="E13" s="5">
        <f>'2. Amortization'!F123</f>
        <v/>
      </c>
    </row>
    <row r="14">
      <c r="A14" s="21" t="n">
        <v>11</v>
      </c>
      <c r="B14" s="5">
        <f>'2. Amortization'!B124</f>
        <v/>
      </c>
      <c r="C14" s="5">
        <f>SUM('2. Amortization'!E124:E135)</f>
        <v/>
      </c>
      <c r="D14" s="5">
        <f>SUM('2. Amortization'!D124:D135)</f>
        <v/>
      </c>
      <c r="E14" s="5">
        <f>'2. Amortization'!F135</f>
        <v/>
      </c>
    </row>
    <row r="15">
      <c r="A15" s="21" t="n">
        <v>12</v>
      </c>
      <c r="B15" s="5">
        <f>'2. Amortization'!B136</f>
        <v/>
      </c>
      <c r="C15" s="5">
        <f>SUM('2. Amortization'!E136:E147)</f>
        <v/>
      </c>
      <c r="D15" s="5">
        <f>SUM('2. Amortization'!D136:D147)</f>
        <v/>
      </c>
      <c r="E15" s="5">
        <f>'2. Amortization'!F147</f>
        <v/>
      </c>
    </row>
    <row r="16">
      <c r="A16" s="21" t="n">
        <v>13</v>
      </c>
      <c r="B16" s="5">
        <f>'2. Amortization'!B148</f>
        <v/>
      </c>
      <c r="C16" s="5">
        <f>SUM('2. Amortization'!E148:E159)</f>
        <v/>
      </c>
      <c r="D16" s="5">
        <f>SUM('2. Amortization'!D148:D159)</f>
        <v/>
      </c>
      <c r="E16" s="5">
        <f>'2. Amortization'!F159</f>
        <v/>
      </c>
    </row>
    <row r="17">
      <c r="A17" s="21" t="n">
        <v>14</v>
      </c>
      <c r="B17" s="5">
        <f>'2. Amortization'!B160</f>
        <v/>
      </c>
      <c r="C17" s="5">
        <f>SUM('2. Amortization'!E160:E171)</f>
        <v/>
      </c>
      <c r="D17" s="5">
        <f>SUM('2. Amortization'!D160:D171)</f>
        <v/>
      </c>
      <c r="E17" s="5">
        <f>'2. Amortization'!F171</f>
        <v/>
      </c>
    </row>
    <row r="18">
      <c r="A18" s="21" t="n">
        <v>15</v>
      </c>
      <c r="B18" s="5">
        <f>'2. Amortization'!B172</f>
        <v/>
      </c>
      <c r="C18" s="5">
        <f>SUM('2. Amortization'!E172:E183)</f>
        <v/>
      </c>
      <c r="D18" s="5">
        <f>SUM('2. Amortization'!D172:D183)</f>
        <v/>
      </c>
      <c r="E18" s="5">
        <f>'2. Amortization'!F183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0" customHeight="1">
      <c r="A1" s="19" t="inlineStr">
        <is>
          <t>BUY vs RENT NET WORTH COMPARISON</t>
        </is>
      </c>
    </row>
    <row r="3" ht="30" customHeight="1">
      <c r="A3" s="22" t="inlineStr">
        <is>
          <t>Year</t>
        </is>
      </c>
      <c r="B3" s="22" t="inlineStr">
        <is>
          <t>Property Value</t>
        </is>
      </c>
      <c r="C3" s="22" t="inlineStr">
        <is>
          <t>Loan Balance</t>
        </is>
      </c>
      <c r="D3" s="22" t="inlineStr">
        <is>
          <t>Net Equity</t>
        </is>
      </c>
      <c r="E3" s="22" t="inlineStr">
        <is>
          <t>Rent Paid</t>
        </is>
      </c>
      <c r="F3" s="22" t="inlineStr">
        <is>
          <t>SIP Value</t>
        </is>
      </c>
      <c r="G3" s="22" t="inlineStr">
        <is>
          <t>Net Worth (Buy)</t>
        </is>
      </c>
      <c r="H3" s="22" t="inlineStr">
        <is>
          <t>Net Worth (Rent)</t>
        </is>
      </c>
    </row>
    <row r="4">
      <c r="A4" s="21" t="n">
        <v>0</v>
      </c>
      <c r="B4" s="5">
        <f>'1. Inputs'!B4</f>
        <v/>
      </c>
      <c r="C4" s="5">
        <f>'2. Amortization'!B4</f>
        <v/>
      </c>
      <c r="D4" s="5">
        <f>-'1. Inputs'!B6</f>
        <v/>
      </c>
      <c r="E4" s="5" t="n">
        <v>0</v>
      </c>
      <c r="F4" s="5">
        <f>'1. Inputs'!B6</f>
        <v/>
      </c>
      <c r="G4" s="5">
        <f>B4-C4-'1. Inputs'!B6</f>
        <v/>
      </c>
      <c r="H4" s="5">
        <f>F4</f>
        <v/>
      </c>
    </row>
    <row r="5">
      <c r="A5" s="21" t="n">
        <v>1</v>
      </c>
      <c r="B5" s="5">
        <f>'1. Inputs'!$B$4*(1+'1. Inputs'!$B$20)^A5</f>
        <v/>
      </c>
      <c r="C5" s="5">
        <f>'3. Yearly Summary'!E4</f>
        <v/>
      </c>
      <c r="D5" s="5">
        <f>B5-C5</f>
        <v/>
      </c>
      <c r="E5" s="5">
        <f>'1. Inputs'!$B$18*12*(1+'1. Inputs'!$B$19)^(A5-1)</f>
        <v/>
      </c>
      <c r="F5" s="5">
        <f>F4*(1+'1. Inputs'!$B$21)+('2. Amortization'!$C$4*12)*(((1+'1. Inputs'!$B$21)-1)/'1. Inputs'!$B$21)*(1+'1. Inputs'!$B$21)</f>
        <v/>
      </c>
      <c r="G5" s="5">
        <f>D5+('1. Inputs'!B22*12*A5)*(((1+'1. Inputs'!$B$21)^A5-1)/'1. Inputs'!$B$21)*(1+'1. Inputs'!$B$21)</f>
        <v/>
      </c>
      <c r="H5" s="5">
        <f>F5</f>
        <v/>
      </c>
    </row>
    <row r="6">
      <c r="A6" s="21" t="n">
        <v>2</v>
      </c>
      <c r="B6" s="5">
        <f>'1. Inputs'!$B$4*(1+'1. Inputs'!$B$20)^A6</f>
        <v/>
      </c>
      <c r="C6" s="5">
        <f>'3. Yearly Summary'!E5</f>
        <v/>
      </c>
      <c r="D6" s="5">
        <f>B6-C6</f>
        <v/>
      </c>
      <c r="E6" s="5">
        <f>'1. Inputs'!$B$18*12*(1+'1. Inputs'!$B$19)^(A6-1)</f>
        <v/>
      </c>
      <c r="F6" s="5">
        <f>F5*(1+'1. Inputs'!$B$21)+('2. Amortization'!$C$4*12)*(((1+'1. Inputs'!$B$21)-1)/'1. Inputs'!$B$21)*(1+'1. Inputs'!$B$21)</f>
        <v/>
      </c>
      <c r="G6" s="5">
        <f>D6+('1. Inputs'!B22*12*A6)*(((1+'1. Inputs'!$B$21)^A6-1)/'1. Inputs'!$B$21)*(1+'1. Inputs'!$B$21)</f>
        <v/>
      </c>
      <c r="H6" s="5">
        <f>F6</f>
        <v/>
      </c>
    </row>
    <row r="7">
      <c r="A7" s="21" t="n">
        <v>3</v>
      </c>
      <c r="B7" s="5">
        <f>'1. Inputs'!$B$4*(1+'1. Inputs'!$B$20)^A7</f>
        <v/>
      </c>
      <c r="C7" s="5">
        <f>'3. Yearly Summary'!E6</f>
        <v/>
      </c>
      <c r="D7" s="5">
        <f>B7-C7</f>
        <v/>
      </c>
      <c r="E7" s="5">
        <f>'1. Inputs'!$B$18*12*(1+'1. Inputs'!$B$19)^(A7-1)</f>
        <v/>
      </c>
      <c r="F7" s="5">
        <f>F6*(1+'1. Inputs'!$B$21)+('2. Amortization'!$C$4*12)*(((1+'1. Inputs'!$B$21)-1)/'1. Inputs'!$B$21)*(1+'1. Inputs'!$B$21)</f>
        <v/>
      </c>
      <c r="G7" s="5">
        <f>D7+('1. Inputs'!B22*12*A7)*(((1+'1. Inputs'!$B$21)^A7-1)/'1. Inputs'!$B$21)*(1+'1. Inputs'!$B$21)</f>
        <v/>
      </c>
      <c r="H7" s="5">
        <f>F7</f>
        <v/>
      </c>
    </row>
    <row r="8">
      <c r="A8" s="21" t="n">
        <v>4</v>
      </c>
      <c r="B8" s="5">
        <f>'1. Inputs'!$B$4*(1+'1. Inputs'!$B$20)^A8</f>
        <v/>
      </c>
      <c r="C8" s="5">
        <f>'3. Yearly Summary'!E7</f>
        <v/>
      </c>
      <c r="D8" s="5">
        <f>B8-C8</f>
        <v/>
      </c>
      <c r="E8" s="5">
        <f>'1. Inputs'!$B$18*12*(1+'1. Inputs'!$B$19)^(A8-1)</f>
        <v/>
      </c>
      <c r="F8" s="5">
        <f>F7*(1+'1. Inputs'!$B$21)+('2. Amortization'!$C$4*12)*(((1+'1. Inputs'!$B$21)-1)/'1. Inputs'!$B$21)*(1+'1. Inputs'!$B$21)</f>
        <v/>
      </c>
      <c r="G8" s="5">
        <f>D8+('1. Inputs'!B22*12*A8)*(((1+'1. Inputs'!$B$21)^A8-1)/'1. Inputs'!$B$21)*(1+'1. Inputs'!$B$21)</f>
        <v/>
      </c>
      <c r="H8" s="5">
        <f>F8</f>
        <v/>
      </c>
    </row>
    <row r="9">
      <c r="A9" s="21" t="n">
        <v>5</v>
      </c>
      <c r="B9" s="5">
        <f>'1. Inputs'!$B$4*(1+'1. Inputs'!$B$20)^A9</f>
        <v/>
      </c>
      <c r="C9" s="5">
        <f>'3. Yearly Summary'!E8</f>
        <v/>
      </c>
      <c r="D9" s="5">
        <f>B9-C9</f>
        <v/>
      </c>
      <c r="E9" s="5">
        <f>'1. Inputs'!$B$18*12*(1+'1. Inputs'!$B$19)^(A9-1)</f>
        <v/>
      </c>
      <c r="F9" s="5">
        <f>F8*(1+'1. Inputs'!$B$21)+('2. Amortization'!$C$4*12)*(((1+'1. Inputs'!$B$21)-1)/'1. Inputs'!$B$21)*(1+'1. Inputs'!$B$21)</f>
        <v/>
      </c>
      <c r="G9" s="5">
        <f>D9+('1. Inputs'!B22*12*A9)*(((1+'1. Inputs'!$B$21)^A9-1)/'1. Inputs'!$B$21)*(1+'1. Inputs'!$B$21)</f>
        <v/>
      </c>
      <c r="H9" s="5">
        <f>F9</f>
        <v/>
      </c>
    </row>
    <row r="10">
      <c r="A10" s="21" t="n">
        <v>6</v>
      </c>
      <c r="B10" s="5">
        <f>'1. Inputs'!$B$4*(1+'1. Inputs'!$B$20)^A10</f>
        <v/>
      </c>
      <c r="C10" s="5">
        <f>'3. Yearly Summary'!E9</f>
        <v/>
      </c>
      <c r="D10" s="5">
        <f>B10-C10</f>
        <v/>
      </c>
      <c r="E10" s="5">
        <f>'1. Inputs'!$B$18*12*(1+'1. Inputs'!$B$19)^(A10-1)</f>
        <v/>
      </c>
      <c r="F10" s="5">
        <f>F9*(1+'1. Inputs'!$B$21)+('2. Amortization'!$C$4*12)*(((1+'1. Inputs'!$B$21)-1)/'1. Inputs'!$B$21)*(1+'1. Inputs'!$B$21)</f>
        <v/>
      </c>
      <c r="G10" s="5">
        <f>D10+('1. Inputs'!B22*12*A10)*(((1+'1. Inputs'!$B$21)^A10-1)/'1. Inputs'!$B$21)*(1+'1. Inputs'!$B$21)</f>
        <v/>
      </c>
      <c r="H10" s="5">
        <f>F10</f>
        <v/>
      </c>
    </row>
    <row r="11">
      <c r="A11" s="21" t="n">
        <v>7</v>
      </c>
      <c r="B11" s="5">
        <f>'1. Inputs'!$B$4*(1+'1. Inputs'!$B$20)^A11</f>
        <v/>
      </c>
      <c r="C11" s="5">
        <f>'3. Yearly Summary'!E10</f>
        <v/>
      </c>
      <c r="D11" s="5">
        <f>B11-C11</f>
        <v/>
      </c>
      <c r="E11" s="5">
        <f>'1. Inputs'!$B$18*12*(1+'1. Inputs'!$B$19)^(A11-1)</f>
        <v/>
      </c>
      <c r="F11" s="5">
        <f>F10*(1+'1. Inputs'!$B$21)+('2. Amortization'!$C$4*12)*(((1+'1. Inputs'!$B$21)-1)/'1. Inputs'!$B$21)*(1+'1. Inputs'!$B$21)</f>
        <v/>
      </c>
      <c r="G11" s="5">
        <f>D11+('1. Inputs'!B22*12*A11)*(((1+'1. Inputs'!$B$21)^A11-1)/'1. Inputs'!$B$21)*(1+'1. Inputs'!$B$21)</f>
        <v/>
      </c>
      <c r="H11" s="5">
        <f>F11</f>
        <v/>
      </c>
    </row>
    <row r="12">
      <c r="A12" s="21" t="n">
        <v>8</v>
      </c>
      <c r="B12" s="5">
        <f>'1. Inputs'!$B$4*(1+'1. Inputs'!$B$20)^A12</f>
        <v/>
      </c>
      <c r="C12" s="5">
        <f>'3. Yearly Summary'!E11</f>
        <v/>
      </c>
      <c r="D12" s="5">
        <f>B12-C12</f>
        <v/>
      </c>
      <c r="E12" s="5">
        <f>'1. Inputs'!$B$18*12*(1+'1. Inputs'!$B$19)^(A12-1)</f>
        <v/>
      </c>
      <c r="F12" s="5">
        <f>F11*(1+'1. Inputs'!$B$21)+('2. Amortization'!$C$4*12)*(((1+'1. Inputs'!$B$21)-1)/'1. Inputs'!$B$21)*(1+'1. Inputs'!$B$21)</f>
        <v/>
      </c>
      <c r="G12" s="5">
        <f>D12+('1. Inputs'!B22*12*A12)*(((1+'1. Inputs'!$B$21)^A12-1)/'1. Inputs'!$B$21)*(1+'1. Inputs'!$B$21)</f>
        <v/>
      </c>
      <c r="H12" s="5">
        <f>F12</f>
        <v/>
      </c>
    </row>
    <row r="13">
      <c r="A13" s="21" t="n">
        <v>9</v>
      </c>
      <c r="B13" s="5">
        <f>'1. Inputs'!$B$4*(1+'1. Inputs'!$B$20)^A13</f>
        <v/>
      </c>
      <c r="C13" s="5">
        <f>'3. Yearly Summary'!E12</f>
        <v/>
      </c>
      <c r="D13" s="5">
        <f>B13-C13</f>
        <v/>
      </c>
      <c r="E13" s="5">
        <f>'1. Inputs'!$B$18*12*(1+'1. Inputs'!$B$19)^(A13-1)</f>
        <v/>
      </c>
      <c r="F13" s="5">
        <f>F12*(1+'1. Inputs'!$B$21)+('2. Amortization'!$C$4*12)*(((1+'1. Inputs'!$B$21)-1)/'1. Inputs'!$B$21)*(1+'1. Inputs'!$B$21)</f>
        <v/>
      </c>
      <c r="G13" s="5">
        <f>D13+('1. Inputs'!B22*12*A13)*(((1+'1. Inputs'!$B$21)^A13-1)/'1. Inputs'!$B$21)*(1+'1. Inputs'!$B$21)</f>
        <v/>
      </c>
      <c r="H13" s="5">
        <f>F13</f>
        <v/>
      </c>
    </row>
    <row r="14">
      <c r="A14" s="21" t="n">
        <v>10</v>
      </c>
      <c r="B14" s="5">
        <f>'1. Inputs'!$B$4*(1+'1. Inputs'!$B$20)^A14</f>
        <v/>
      </c>
      <c r="C14" s="5">
        <f>'3. Yearly Summary'!E13</f>
        <v/>
      </c>
      <c r="D14" s="5">
        <f>B14-C14</f>
        <v/>
      </c>
      <c r="E14" s="5">
        <f>'1. Inputs'!$B$18*12*(1+'1. Inputs'!$B$19)^(A14-1)</f>
        <v/>
      </c>
      <c r="F14" s="5">
        <f>F13*(1+'1. Inputs'!$B$21)+('2. Amortization'!$C$4*12)*(((1+'1. Inputs'!$B$21)-1)/'1. Inputs'!$B$21)*(1+'1. Inputs'!$B$21)</f>
        <v/>
      </c>
      <c r="G14" s="5">
        <f>D14+('1. Inputs'!B22*12*A14)*(((1+'1. Inputs'!$B$21)^A14-1)/'1. Inputs'!$B$21)*(1+'1. Inputs'!$B$21)</f>
        <v/>
      </c>
      <c r="H14" s="5">
        <f>F14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2026-07-06T19:43:39Z</dcterms:created>
  <dcterms:modified xsi:type="dcterms:W3CDTF">2026-07-06T19:43:39Z</dcterms:modified>
</cp:coreProperties>
</file>